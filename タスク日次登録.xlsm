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you\study\言語\ExcelVBA\02.タスク管理\"/>
    </mc:Choice>
  </mc:AlternateContent>
  <xr:revisionPtr revIDLastSave="0" documentId="13_ncr:1_{A524A9C3-D725-4B6F-BB5E-510B811492C6}" xr6:coauthVersionLast="47" xr6:coauthVersionMax="47" xr10:uidLastSave="{00000000-0000-0000-0000-000000000000}"/>
  <bookViews>
    <workbookView xWindow="-120" yWindow="-120" windowWidth="29040" windowHeight="18240" activeTab="1" xr2:uid="{BA3A98F0-FB78-4744-A70B-AD38978847EC}"/>
  </bookViews>
  <sheets>
    <sheet name="タスク管理に必要な要素" sheetId="2" r:id="rId1"/>
    <sheet name="タスク管理表_フォーマットとイベント発火時の挙動" sheetId="3" r:id="rId2"/>
    <sheet name="祝日" sheetId="5" r:id="rId3"/>
    <sheet name="プルダウン" sheetId="6" r:id="rId4"/>
    <sheet name="作業で行き詰ったことシート" sheetId="4" r:id="rId5"/>
  </sheets>
  <definedNames>
    <definedName name="_xlpm.dispDay" hidden="1" xlm="1">#NAME?</definedName>
    <definedName name="_xlpm.disp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3" l="1"/>
  <c r="A15" i="3"/>
  <c r="A16" i="3"/>
  <c r="A12" i="3"/>
  <c r="A13" i="3"/>
  <c r="T5" i="3" l="1"/>
  <c r="M10" i="3"/>
  <c r="M11" i="3"/>
  <c r="M9" i="3"/>
  <c r="A10" i="3"/>
  <c r="A11" i="3"/>
  <c r="A9" i="3"/>
  <c r="T7" i="3" l="1"/>
  <c r="T6" i="3"/>
  <c r="U5" i="3"/>
  <c r="U7" i="3" l="1"/>
  <c r="V5" i="3"/>
  <c r="U6" i="3"/>
  <c r="W5" i="3" l="1"/>
  <c r="V6" i="3"/>
  <c r="V7" i="3"/>
  <c r="X5" i="3" l="1"/>
  <c r="W6" i="3"/>
  <c r="W7" i="3"/>
  <c r="Y5" i="3" l="1"/>
  <c r="X7" i="3"/>
  <c r="X6" i="3"/>
  <c r="Z5" i="3" l="1"/>
  <c r="Y6" i="3"/>
  <c r="Y7" i="3"/>
  <c r="AA5" i="3" l="1"/>
  <c r="Z7" i="3"/>
  <c r="Z6" i="3"/>
  <c r="AB5" i="3" l="1"/>
  <c r="AA7" i="3"/>
  <c r="AA6" i="3"/>
  <c r="AC5" i="3" l="1"/>
  <c r="AB6" i="3"/>
  <c r="AB7" i="3"/>
  <c r="AD5" i="3" l="1"/>
  <c r="AC6" i="3"/>
  <c r="AC7" i="3"/>
  <c r="AE5" i="3" l="1"/>
  <c r="AD6" i="3"/>
  <c r="AD7" i="3"/>
  <c r="AF5" i="3" l="1"/>
  <c r="AE6" i="3"/>
  <c r="AE7" i="3"/>
  <c r="AG5" i="3" l="1"/>
  <c r="AF6" i="3"/>
  <c r="AF7" i="3"/>
  <c r="AH5" i="3" l="1"/>
  <c r="AG6" i="3"/>
  <c r="AG7" i="3"/>
  <c r="AI5" i="3" l="1"/>
  <c r="AH6" i="3"/>
  <c r="AH7" i="3"/>
  <c r="AJ5" i="3" l="1"/>
  <c r="AI7" i="3"/>
  <c r="AI6" i="3"/>
  <c r="AK5" i="3" l="1"/>
  <c r="AJ7" i="3"/>
  <c r="AJ6" i="3"/>
  <c r="AK6" i="3" l="1"/>
  <c r="AK7" i="3"/>
</calcChain>
</file>

<file path=xl/sharedStrings.xml><?xml version="1.0" encoding="utf-8"?>
<sst xmlns="http://schemas.openxmlformats.org/spreadsheetml/2006/main" count="216" uniqueCount="142">
  <si>
    <t>日付</t>
    <rPh sb="0" eb="2">
      <t>ヒヅケ</t>
    </rPh>
    <phoneticPr fontId="1"/>
  </si>
  <si>
    <t>機能</t>
    <rPh sb="0" eb="2">
      <t>キノウ</t>
    </rPh>
    <phoneticPr fontId="1"/>
  </si>
  <si>
    <t>工程</t>
    <rPh sb="0" eb="2">
      <t>コウテイ</t>
    </rPh>
    <phoneticPr fontId="1"/>
  </si>
  <si>
    <t>タスク名</t>
    <rPh sb="3" eb="4">
      <t>メイ</t>
    </rPh>
    <phoneticPr fontId="1"/>
  </si>
  <si>
    <t>予定開始日</t>
    <rPh sb="0" eb="5">
      <t>ヨテイカイシビ</t>
    </rPh>
    <phoneticPr fontId="1"/>
  </si>
  <si>
    <t>予定終了日</t>
    <rPh sb="0" eb="5">
      <t>ヨテイシュウリョウビ</t>
    </rPh>
    <phoneticPr fontId="1"/>
  </si>
  <si>
    <t>予定工数</t>
    <rPh sb="0" eb="4">
      <t>ヨテイコウスウ</t>
    </rPh>
    <phoneticPr fontId="1"/>
  </si>
  <si>
    <t>実績工数</t>
    <rPh sb="0" eb="2">
      <t>ジッセキ</t>
    </rPh>
    <rPh sb="2" eb="4">
      <t>コウスウ</t>
    </rPh>
    <phoneticPr fontId="1"/>
  </si>
  <si>
    <t>実績開始日</t>
    <phoneticPr fontId="1"/>
  </si>
  <si>
    <t>実績終了日</t>
    <phoneticPr fontId="1"/>
  </si>
  <si>
    <t>手入力</t>
  </si>
  <si>
    <t>自動算出</t>
  </si>
  <si>
    <t>手入力/自動算出</t>
    <rPh sb="0" eb="3">
      <t>テニュウリョク</t>
    </rPh>
    <phoneticPr fontId="1"/>
  </si>
  <si>
    <t>項目</t>
    <rPh sb="0" eb="2">
      <t>コウモク</t>
    </rPh>
    <phoneticPr fontId="1"/>
  </si>
  <si>
    <t>手入力</t>
    <phoneticPr fontId="1"/>
  </si>
  <si>
    <t>日付</t>
  </si>
  <si>
    <t>状況</t>
    <rPh sb="0" eb="2">
      <t>ジョウキョウ</t>
    </rPh>
    <phoneticPr fontId="1"/>
  </si>
  <si>
    <t>日付ごとの着手工数</t>
    <rPh sb="0" eb="2">
      <t>ヒヅケ</t>
    </rPh>
    <rPh sb="5" eb="9">
      <t>チャクシュコウスウ</t>
    </rPh>
    <phoneticPr fontId="1"/>
  </si>
  <si>
    <t>工数予実差</t>
    <rPh sb="0" eb="5">
      <t>コウスウヨジツサ</t>
    </rPh>
    <phoneticPr fontId="1"/>
  </si>
  <si>
    <t>期日予実差</t>
    <rPh sb="0" eb="2">
      <t>キジツ</t>
    </rPh>
    <rPh sb="2" eb="5">
      <t>ヨジツサ</t>
    </rPh>
    <phoneticPr fontId="1"/>
  </si>
  <si>
    <t>備考</t>
  </si>
  <si>
    <t>備考</t>
    <rPh sb="0" eb="2">
      <t>ビコウ</t>
    </rPh>
    <phoneticPr fontId="1"/>
  </si>
  <si>
    <t>ジャンル</t>
    <phoneticPr fontId="1"/>
  </si>
  <si>
    <t>メタデータ</t>
    <phoneticPr fontId="1"/>
  </si>
  <si>
    <t>計画時タスクフラグ</t>
    <rPh sb="0" eb="2">
      <t>ケイカク</t>
    </rPh>
    <rPh sb="2" eb="3">
      <t>トキ</t>
    </rPh>
    <phoneticPr fontId="1"/>
  </si>
  <si>
    <t>説明</t>
    <rPh sb="0" eb="2">
      <t>セツメイ</t>
    </rPh>
    <phoneticPr fontId="1"/>
  </si>
  <si>
    <t>TaskNo</t>
    <phoneticPr fontId="1"/>
  </si>
  <si>
    <t>フェイズ</t>
    <phoneticPr fontId="1"/>
  </si>
  <si>
    <t>開発対象の機能名。
基本的に、機能ID_機能名 の結合文字列で記載する。</t>
    <rPh sb="0" eb="4">
      <t>カイハツタイショウ</t>
    </rPh>
    <rPh sb="5" eb="8">
      <t>キノウメイ</t>
    </rPh>
    <rPh sb="10" eb="13">
      <t>キホンテキ</t>
    </rPh>
    <rPh sb="15" eb="17">
      <t>キノウ</t>
    </rPh>
    <rPh sb="20" eb="23">
      <t>キノウメイ</t>
    </rPh>
    <rPh sb="25" eb="30">
      <t>ケツゴウモジレツ</t>
    </rPh>
    <rPh sb="31" eb="33">
      <t>キサイ</t>
    </rPh>
    <phoneticPr fontId="1"/>
  </si>
  <si>
    <t>工程名。フェイズをブレイクダウンしたもの。
記載するのはフェイズの説明欄内に書いた工程例。</t>
    <rPh sb="0" eb="2">
      <t>コウテイ</t>
    </rPh>
    <rPh sb="2" eb="3">
      <t>メイ</t>
    </rPh>
    <rPh sb="22" eb="24">
      <t>キサイ</t>
    </rPh>
    <rPh sb="33" eb="35">
      <t>セツメイ</t>
    </rPh>
    <rPh sb="35" eb="36">
      <t>ラン</t>
    </rPh>
    <rPh sb="36" eb="37">
      <t>ナイ</t>
    </rPh>
    <rPh sb="38" eb="39">
      <t>カ</t>
    </rPh>
    <rPh sb="41" eb="43">
      <t>コウテイ</t>
    </rPh>
    <rPh sb="43" eb="44">
      <t>レイ</t>
    </rPh>
    <phoneticPr fontId="1"/>
  </si>
  <si>
    <t>タスクの名前。
成果物名か、成果物名に対してのレビュー、等を記載。</t>
    <rPh sb="4" eb="6">
      <t>ナマエ</t>
    </rPh>
    <rPh sb="8" eb="11">
      <t>セイカブツ</t>
    </rPh>
    <rPh sb="11" eb="12">
      <t>メイ</t>
    </rPh>
    <rPh sb="14" eb="18">
      <t>セイカブツメイ</t>
    </rPh>
    <rPh sb="19" eb="20">
      <t>タイ</t>
    </rPh>
    <rPh sb="28" eb="29">
      <t>ナド</t>
    </rPh>
    <rPh sb="30" eb="32">
      <t>キサイ</t>
    </rPh>
    <phoneticPr fontId="1"/>
  </si>
  <si>
    <t>作業振り返りをする際の一つの基準。計画時とPJ終了時のタスク計画に過不足があるかを判断するためのフラグ。
フェイズ「作業計画」時に計画したタスクは✓を入力。
フェイズ「開発前」～「開発後」内で追加したタスクは入力なし。</t>
    <rPh sb="0" eb="3">
      <t>サギョウフ</t>
    </rPh>
    <rPh sb="4" eb="5">
      <t>カエ</t>
    </rPh>
    <rPh sb="9" eb="10">
      <t>サイ</t>
    </rPh>
    <rPh sb="11" eb="12">
      <t>ヒト</t>
    </rPh>
    <rPh sb="14" eb="16">
      <t>キジュン</t>
    </rPh>
    <rPh sb="17" eb="19">
      <t>ケイカク</t>
    </rPh>
    <rPh sb="19" eb="20">
      <t>ジ</t>
    </rPh>
    <rPh sb="23" eb="25">
      <t>シュウリョウ</t>
    </rPh>
    <rPh sb="25" eb="26">
      <t>トキ</t>
    </rPh>
    <rPh sb="30" eb="32">
      <t>ケイカク</t>
    </rPh>
    <rPh sb="33" eb="36">
      <t>カブソク</t>
    </rPh>
    <rPh sb="41" eb="43">
      <t>ハンダン</t>
    </rPh>
    <rPh sb="58" eb="62">
      <t>サギョウケイカク</t>
    </rPh>
    <rPh sb="63" eb="64">
      <t>トキ</t>
    </rPh>
    <rPh sb="65" eb="67">
      <t>ケイカク</t>
    </rPh>
    <rPh sb="75" eb="77">
      <t>ニュウリョク</t>
    </rPh>
    <rPh sb="84" eb="86">
      <t>カイハツ</t>
    </rPh>
    <rPh sb="86" eb="87">
      <t>マエ</t>
    </rPh>
    <rPh sb="90" eb="92">
      <t>カイハツ</t>
    </rPh>
    <rPh sb="92" eb="93">
      <t>アト</t>
    </rPh>
    <rPh sb="94" eb="95">
      <t>ナイ</t>
    </rPh>
    <rPh sb="96" eb="98">
      <t>ツイカ</t>
    </rPh>
    <rPh sb="104" eb="106">
      <t>ニュウリョク</t>
    </rPh>
    <phoneticPr fontId="1"/>
  </si>
  <si>
    <t>予定工数。[h]:mm 形式で入力。
極力15分単位での入力に限定したい。</t>
    <rPh sb="0" eb="4">
      <t>ヨテイコウスウ</t>
    </rPh>
    <rPh sb="12" eb="14">
      <t>ケイシキ</t>
    </rPh>
    <rPh sb="15" eb="17">
      <t>ニュウリョク</t>
    </rPh>
    <rPh sb="19" eb="21">
      <t>キョクリョク</t>
    </rPh>
    <rPh sb="23" eb="24">
      <t>フン</t>
    </rPh>
    <rPh sb="24" eb="26">
      <t>タンイ</t>
    </rPh>
    <rPh sb="28" eb="30">
      <t>ニュウリョク</t>
    </rPh>
    <rPh sb="31" eb="33">
      <t>ゲンテイ</t>
    </rPh>
    <phoneticPr fontId="1"/>
  </si>
  <si>
    <t>予定開始日。日付を入力し、mm/dd ddd形式で表示。</t>
    <rPh sb="6" eb="8">
      <t>ヒヅケ</t>
    </rPh>
    <rPh sb="9" eb="11">
      <t>ニュウリョク</t>
    </rPh>
    <rPh sb="25" eb="27">
      <t>ヒョウジ</t>
    </rPh>
    <phoneticPr fontId="1"/>
  </si>
  <si>
    <t>予定終了日。日付を入力し、mm/dd ddd形式で表示。
予定開始日より早い日付を入力したら、入力規則のエラーウィンドウを出す。</t>
    <rPh sb="2" eb="4">
      <t>シュウリョウ</t>
    </rPh>
    <rPh sb="4" eb="5">
      <t>ニチ</t>
    </rPh>
    <rPh sb="6" eb="8">
      <t>ヒヅケ</t>
    </rPh>
    <rPh sb="9" eb="11">
      <t>ニュウリョク</t>
    </rPh>
    <rPh sb="25" eb="27">
      <t>ヒョウジ</t>
    </rPh>
    <rPh sb="29" eb="34">
      <t>ヨテイカイシビ</t>
    </rPh>
    <rPh sb="36" eb="37">
      <t>ハヤ</t>
    </rPh>
    <rPh sb="38" eb="40">
      <t>ヒヅケ</t>
    </rPh>
    <rPh sb="41" eb="43">
      <t>ニュウリョク</t>
    </rPh>
    <rPh sb="47" eb="51">
      <t>ニュウリョクキソク</t>
    </rPh>
    <rPh sb="61" eb="62">
      <t>ダ</t>
    </rPh>
    <phoneticPr fontId="1"/>
  </si>
  <si>
    <t>実績工数。
日付ごとの着手工数 欄を合算した値を[h]:mm 形式で表示。</t>
    <rPh sb="0" eb="2">
      <t>ジッセキ</t>
    </rPh>
    <rPh sb="2" eb="4">
      <t>コウスウ</t>
    </rPh>
    <rPh sb="6" eb="8">
      <t>ヒヅケ</t>
    </rPh>
    <rPh sb="11" eb="15">
      <t>チャクシュコウスウ</t>
    </rPh>
    <rPh sb="16" eb="17">
      <t>ラン</t>
    </rPh>
    <rPh sb="18" eb="20">
      <t>ガッサン</t>
    </rPh>
    <rPh sb="22" eb="23">
      <t>アタイ</t>
    </rPh>
    <rPh sb="34" eb="36">
      <t>ヒョウジ</t>
    </rPh>
    <phoneticPr fontId="1"/>
  </si>
  <si>
    <t>実績開始日。
日付ごとの着手工数 欄に入力がある中で、最も早い日付を mm/dd ddd形式で表示。</t>
    <rPh sb="19" eb="21">
      <t>ニュウリョク</t>
    </rPh>
    <rPh sb="24" eb="25">
      <t>ナカ</t>
    </rPh>
    <rPh sb="27" eb="28">
      <t>モット</t>
    </rPh>
    <rPh sb="29" eb="30">
      <t>ハヤ</t>
    </rPh>
    <rPh sb="31" eb="33">
      <t>ヒヅケ</t>
    </rPh>
    <phoneticPr fontId="1"/>
  </si>
  <si>
    <t>実績終了日。
日付ごとの着手工数 欄に入力がある中で、最も遅い日付を mm/dd ddd形式で表示。</t>
    <rPh sb="2" eb="4">
      <t>シュウリョウ</t>
    </rPh>
    <rPh sb="19" eb="21">
      <t>ニュウリョク</t>
    </rPh>
    <rPh sb="24" eb="25">
      <t>ナカ</t>
    </rPh>
    <rPh sb="27" eb="28">
      <t>モット</t>
    </rPh>
    <rPh sb="29" eb="30">
      <t>オソ</t>
    </rPh>
    <rPh sb="31" eb="33">
      <t>ヒヅケ</t>
    </rPh>
    <phoneticPr fontId="1"/>
  </si>
  <si>
    <t>日付。WBS上の方に表示。</t>
    <rPh sb="0" eb="2">
      <t>ヒヅケ</t>
    </rPh>
    <rPh sb="6" eb="7">
      <t>ウエ</t>
    </rPh>
    <rPh sb="8" eb="9">
      <t>ホウ</t>
    </rPh>
    <rPh sb="10" eb="12">
      <t>ヒョウジ</t>
    </rPh>
    <phoneticPr fontId="1"/>
  </si>
  <si>
    <t>該当のタスクと日付が重なるセルに、 h:mm形式で入力。
実績工数算出のために毎日登録する。</t>
    <rPh sb="0" eb="2">
      <t>ガイトウ</t>
    </rPh>
    <rPh sb="7" eb="9">
      <t>ヒヅケ</t>
    </rPh>
    <rPh sb="10" eb="11">
      <t>カサ</t>
    </rPh>
    <rPh sb="22" eb="24">
      <t>ケイシキ</t>
    </rPh>
    <rPh sb="25" eb="27">
      <t>ニュウリョク</t>
    </rPh>
    <rPh sb="29" eb="33">
      <t>ジッセキコウスウ</t>
    </rPh>
    <rPh sb="33" eb="35">
      <t>サンシュツ</t>
    </rPh>
    <rPh sb="39" eb="41">
      <t>マイニチ</t>
    </rPh>
    <rPh sb="41" eb="43">
      <t>トウロク</t>
    </rPh>
    <phoneticPr fontId="1"/>
  </si>
  <si>
    <t>タスクのステータス。以下のいずれかを選択する。
・計画中　・未着手　・着手中　・完了　・廃止</t>
    <rPh sb="10" eb="12">
      <t>イカ</t>
    </rPh>
    <rPh sb="18" eb="20">
      <t>センタク</t>
    </rPh>
    <rPh sb="25" eb="28">
      <t>ケイカクナカ</t>
    </rPh>
    <rPh sb="30" eb="33">
      <t>ミチャクシュ</t>
    </rPh>
    <rPh sb="35" eb="38">
      <t>チャクシュナカ</t>
    </rPh>
    <rPh sb="40" eb="42">
      <t>カンリョウ</t>
    </rPh>
    <rPh sb="44" eb="46">
      <t>ハイシ</t>
    </rPh>
    <phoneticPr fontId="1"/>
  </si>
  <si>
    <t>実績工数 - 予定工数 の値。 ±[h]:mm 形式で算出。
+（予定よりも超過）の場合は赤太字とかピンクの背景色で強調。</t>
    <rPh sb="0" eb="4">
      <t>ジッセキコウスウ</t>
    </rPh>
    <rPh sb="7" eb="11">
      <t>ヨテイコウスウ</t>
    </rPh>
    <rPh sb="13" eb="14">
      <t>アタイ</t>
    </rPh>
    <rPh sb="24" eb="26">
      <t>ケイシキ</t>
    </rPh>
    <rPh sb="27" eb="29">
      <t>サンシュツ</t>
    </rPh>
    <rPh sb="33" eb="35">
      <t>ヨテイ</t>
    </rPh>
    <rPh sb="38" eb="40">
      <t>チョウカ</t>
    </rPh>
    <rPh sb="42" eb="44">
      <t>バアイ</t>
    </rPh>
    <rPh sb="45" eb="46">
      <t>アカ</t>
    </rPh>
    <rPh sb="46" eb="48">
      <t>フトジ</t>
    </rPh>
    <rPh sb="54" eb="57">
      <t>ハイケイショク</t>
    </rPh>
    <rPh sb="58" eb="60">
      <t>キョウチョウ</t>
    </rPh>
    <phoneticPr fontId="1"/>
  </si>
  <si>
    <t>min(実績終了日, TODAY()) - 予定終了日 の値。 ±[h]:mm 形式で算出。
+（予定よりも超過）の場合は赤太字とかピンクの背景色で強調。</t>
    <rPh sb="4" eb="9">
      <t>ジッセキシュウリョウビ</t>
    </rPh>
    <rPh sb="22" eb="27">
      <t>ヨテイシュウリョウビ</t>
    </rPh>
    <rPh sb="29" eb="30">
      <t>アタイ</t>
    </rPh>
    <phoneticPr fontId="1"/>
  </si>
  <si>
    <t>メモ欄。必要に応じて以下の記入を行う。
・状況の詳細
・状況が「廃止」となった理由
・遅れの原因</t>
    <rPh sb="2" eb="3">
      <t>ラン</t>
    </rPh>
    <rPh sb="4" eb="6">
      <t>ヒツヨウ</t>
    </rPh>
    <rPh sb="7" eb="8">
      <t>オウ</t>
    </rPh>
    <rPh sb="10" eb="12">
      <t>イカ</t>
    </rPh>
    <rPh sb="13" eb="15">
      <t>キニュウ</t>
    </rPh>
    <rPh sb="16" eb="17">
      <t>オコナ</t>
    </rPh>
    <rPh sb="21" eb="23">
      <t>ジョウキョウ</t>
    </rPh>
    <rPh sb="24" eb="26">
      <t>ショウサイ</t>
    </rPh>
    <rPh sb="28" eb="30">
      <t>ジョウキョウ</t>
    </rPh>
    <rPh sb="32" eb="34">
      <t>ハイシ</t>
    </rPh>
    <rPh sb="39" eb="41">
      <t>リユウ</t>
    </rPh>
    <rPh sb="43" eb="44">
      <t>オク</t>
    </rPh>
    <rPh sb="46" eb="48">
      <t>ゲンイン</t>
    </rPh>
    <phoneticPr fontId="1"/>
  </si>
  <si>
    <t>タスク管理に必要な要素</t>
  </si>
  <si>
    <t>TaskID</t>
    <phoneticPr fontId="1"/>
  </si>
  <si>
    <t>タスクの番号。人間が入力するときにわかりやすい番号を表示することが目的。
Row関数を用いて算出。タスクの追加を行うたびに変動。
WBS内の入力を行う際に『えっと〇番、〇番…』と探しやすくするため。</t>
    <rPh sb="4" eb="6">
      <t>バンゴウ</t>
    </rPh>
    <rPh sb="40" eb="42">
      <t>カンスウ</t>
    </rPh>
    <rPh sb="43" eb="44">
      <t>モチ</t>
    </rPh>
    <rPh sb="46" eb="48">
      <t>サンシュツ</t>
    </rPh>
    <rPh sb="53" eb="55">
      <t>ツイカ</t>
    </rPh>
    <rPh sb="56" eb="57">
      <t>オコナ</t>
    </rPh>
    <rPh sb="61" eb="63">
      <t>ヘンドウ</t>
    </rPh>
    <rPh sb="68" eb="69">
      <t>ナイ</t>
    </rPh>
    <rPh sb="70" eb="72">
      <t>ニュウリョク</t>
    </rPh>
    <rPh sb="73" eb="74">
      <t>オコナ</t>
    </rPh>
    <rPh sb="75" eb="76">
      <t>サイ</t>
    </rPh>
    <rPh sb="82" eb="83">
      <t>バン</t>
    </rPh>
    <rPh sb="85" eb="86">
      <t>バン</t>
    </rPh>
    <rPh sb="89" eb="90">
      <t>サガ</t>
    </rPh>
    <phoneticPr fontId="1"/>
  </si>
  <si>
    <t>タスクの番号。タスクがそれぞれ別々であることを証明することが目的。
yyyymmdd-hhmmdd000 形式で算出。タスクの追加を行ったとき、既存タスクのIDは変化せず、新規IDのタスクは発番される。</t>
    <rPh sb="4" eb="6">
      <t>バンゴウ</t>
    </rPh>
    <rPh sb="15" eb="17">
      <t>ベツベツ</t>
    </rPh>
    <rPh sb="23" eb="25">
      <t>ショウメイ</t>
    </rPh>
    <rPh sb="30" eb="32">
      <t>モクテキ</t>
    </rPh>
    <rPh sb="53" eb="55">
      <t>ケイシキ</t>
    </rPh>
    <rPh sb="56" eb="58">
      <t>サンシュツ</t>
    </rPh>
    <rPh sb="63" eb="65">
      <t>ツイカ</t>
    </rPh>
    <rPh sb="66" eb="67">
      <t>オコナ</t>
    </rPh>
    <rPh sb="72" eb="74">
      <t>キソン</t>
    </rPh>
    <rPh sb="81" eb="83">
      <t>ヘンカ</t>
    </rPh>
    <rPh sb="86" eb="88">
      <t>シンキ</t>
    </rPh>
    <rPh sb="95" eb="97">
      <t>ハツバン</t>
    </rPh>
    <phoneticPr fontId="1"/>
  </si>
  <si>
    <t>計画
タスク</t>
    <rPh sb="0" eb="2">
      <t>ケイカク</t>
    </rPh>
    <phoneticPr fontId="1"/>
  </si>
  <si>
    <t>曜日</t>
    <rPh sb="0" eb="2">
      <t>ヨウビ</t>
    </rPh>
    <phoneticPr fontId="1"/>
  </si>
  <si>
    <t>月/日</t>
    <rPh sb="0" eb="1">
      <t>ツキ</t>
    </rPh>
    <rPh sb="2" eb="3">
      <t>ヒ</t>
    </rPh>
    <phoneticPr fontId="1"/>
  </si>
  <si>
    <t>着手工数</t>
    <rPh sb="0" eb="2">
      <t>チャクシュ</t>
    </rPh>
    <rPh sb="2" eb="4">
      <t>コウスウ</t>
    </rPh>
    <phoneticPr fontId="1"/>
  </si>
  <si>
    <t>総有効タスク数：</t>
    <rPh sb="0" eb="1">
      <t>ソウ</t>
    </rPh>
    <rPh sb="1" eb="3">
      <t>ユウコウ</t>
    </rPh>
    <rPh sb="6" eb="7">
      <t>カズ</t>
    </rPh>
    <phoneticPr fontId="1"/>
  </si>
  <si>
    <t>完了タスク数：</t>
    <rPh sb="0" eb="2">
      <t>カンリョウ</t>
    </rPh>
    <rPh sb="5" eb="6">
      <t>カズ</t>
    </rPh>
    <phoneticPr fontId="1"/>
  </si>
  <si>
    <t>未着手：</t>
    <rPh sb="0" eb="3">
      <t>ミチャクシュ</t>
    </rPh>
    <phoneticPr fontId="1"/>
  </si>
  <si>
    <t>着手中：</t>
    <rPh sb="0" eb="3">
      <t>チャクシュナカ</t>
    </rPh>
    <phoneticPr fontId="1"/>
  </si>
  <si>
    <t>No</t>
    <phoneticPr fontId="1"/>
  </si>
  <si>
    <t>ID</t>
    <phoneticPr fontId="1"/>
  </si>
  <si>
    <t>20240604-012829087</t>
    <phoneticPr fontId="1"/>
  </si>
  <si>
    <t>作業計画</t>
  </si>
  <si>
    <t>作業計画</t>
    <rPh sb="0" eb="4">
      <t>サギョウケイカク</t>
    </rPh>
    <phoneticPr fontId="1"/>
  </si>
  <si>
    <t>担当者確認</t>
    <rPh sb="0" eb="3">
      <t>タントウシャ</t>
    </rPh>
    <rPh sb="3" eb="5">
      <t>カクニン</t>
    </rPh>
    <phoneticPr fontId="1"/>
  </si>
  <si>
    <t>予定工数
[h]:mm</t>
    <rPh sb="0" eb="4">
      <t>ヨテイコウスウ</t>
    </rPh>
    <phoneticPr fontId="1"/>
  </si>
  <si>
    <t>実績工数
[h]:mm</t>
    <rPh sb="0" eb="2">
      <t>ジッセキ</t>
    </rPh>
    <rPh sb="2" eb="4">
      <t>コウスウ</t>
    </rPh>
    <phoneticPr fontId="1"/>
  </si>
  <si>
    <t>予定開始日
mm/dd ddd</t>
    <rPh sb="0" eb="5">
      <t>ヨテイカイシビ</t>
    </rPh>
    <phoneticPr fontId="1"/>
  </si>
  <si>
    <t>予定終了日
mm/dd ddd</t>
    <rPh sb="0" eb="5">
      <t>ヨテイシュウリョウビ</t>
    </rPh>
    <phoneticPr fontId="1"/>
  </si>
  <si>
    <t>実績開始日
mm/dd ddd</t>
    <phoneticPr fontId="1"/>
  </si>
  <si>
    <t>実績終了日
mm/dd ddd</t>
    <phoneticPr fontId="1"/>
  </si>
  <si>
    <t>作業で行き詰ったことシート</t>
  </si>
  <si>
    <t>発生日</t>
    <rPh sb="0" eb="3">
      <t>ハッセイビ</t>
    </rPh>
    <phoneticPr fontId="1"/>
  </si>
  <si>
    <t>行き詰ったこと</t>
    <rPh sb="0" eb="1">
      <t>イ</t>
    </rPh>
    <rPh sb="2" eb="3">
      <t>ヅマ</t>
    </rPh>
    <phoneticPr fontId="1"/>
  </si>
  <si>
    <t>解消した？</t>
    <rPh sb="0" eb="2">
      <t>カイショウ</t>
    </rPh>
    <phoneticPr fontId="1"/>
  </si>
  <si>
    <t>どうやって解消したか</t>
    <rPh sb="5" eb="7">
      <t>カイショウ</t>
    </rPh>
    <phoneticPr fontId="1"/>
  </si>
  <si>
    <t>次はこうすればいけるかも！</t>
    <rPh sb="0" eb="1">
      <t>ツギ</t>
    </rPh>
    <phoneticPr fontId="1"/>
  </si>
  <si>
    <t>作業の中で行き詰ったことを起票・管理することで、次に同じことが起こったら生かせるようにしよう！</t>
    <rPh sb="0" eb="2">
      <t>サギョウ</t>
    </rPh>
    <rPh sb="3" eb="4">
      <t>ナカ</t>
    </rPh>
    <rPh sb="5" eb="6">
      <t>イ</t>
    </rPh>
    <rPh sb="7" eb="8">
      <t>ヅマ</t>
    </rPh>
    <rPh sb="13" eb="15">
      <t>キヒョウ</t>
    </rPh>
    <rPh sb="16" eb="18">
      <t>カンリ</t>
    </rPh>
    <rPh sb="24" eb="25">
      <t>ツギ</t>
    </rPh>
    <rPh sb="26" eb="27">
      <t>オナ</t>
    </rPh>
    <rPh sb="31" eb="32">
      <t>オ</t>
    </rPh>
    <rPh sb="36" eb="37">
      <t>イ</t>
    </rPh>
    <phoneticPr fontId="1"/>
  </si>
  <si>
    <t>開発前</t>
  </si>
  <si>
    <t>開発前</t>
    <rPh sb="0" eb="3">
      <t>カイハツマエ</t>
    </rPh>
    <phoneticPr fontId="1"/>
  </si>
  <si>
    <t>環境構築</t>
    <rPh sb="0" eb="4">
      <t>カンキョウコウチク</t>
    </rPh>
    <phoneticPr fontId="1"/>
  </si>
  <si>
    <t>本来のフェイズというと、要件定義～リリースまでの一塊を指すが、
本管理では、一段階下。必ず、以下のいずれかを入力する。
・作業計画：PJに参加した直後から自身の作業計画を立てるまで。
　　　　　工程例）スケジュール作成、作業計画meet
・開発前：PJ計画を立ててから要件定義書の読み込みを行う直前まで。
　　　　　工程例）環境構築、PJ運営方針確認
・開発中：要件定義書の読み込みから納品まで。
　　　　　工程例）SS、PG、PT、IT、納品作業
・開発後：納品後に湧いてきた対応。
　　　　　工程例）社内受入指摘対応、顧客指摘対応</t>
    <rPh sb="0" eb="2">
      <t>ホンライ</t>
    </rPh>
    <rPh sb="12" eb="16">
      <t>ヨウケンテイギ</t>
    </rPh>
    <rPh sb="24" eb="25">
      <t>イチ</t>
    </rPh>
    <rPh sb="25" eb="26">
      <t>カタマリ</t>
    </rPh>
    <rPh sb="27" eb="28">
      <t>サ</t>
    </rPh>
    <rPh sb="32" eb="33">
      <t>ホン</t>
    </rPh>
    <rPh sb="33" eb="35">
      <t>カンリ</t>
    </rPh>
    <rPh sb="38" eb="41">
      <t>イチダンカイ</t>
    </rPh>
    <rPh sb="41" eb="42">
      <t>シタ</t>
    </rPh>
    <rPh sb="43" eb="44">
      <t>カナラ</t>
    </rPh>
    <rPh sb="46" eb="48">
      <t>イカ</t>
    </rPh>
    <rPh sb="54" eb="56">
      <t>ニュウリョク</t>
    </rPh>
    <rPh sb="61" eb="65">
      <t>サギョウケイカク</t>
    </rPh>
    <rPh sb="69" eb="71">
      <t>サンカ</t>
    </rPh>
    <rPh sb="73" eb="75">
      <t>チョクゴ</t>
    </rPh>
    <rPh sb="77" eb="79">
      <t>ジシン</t>
    </rPh>
    <rPh sb="80" eb="84">
      <t>サギョウケイカク</t>
    </rPh>
    <rPh sb="85" eb="86">
      <t>タ</t>
    </rPh>
    <rPh sb="97" eb="99">
      <t>コウテイ</t>
    </rPh>
    <rPh sb="99" eb="100">
      <t>レイ</t>
    </rPh>
    <rPh sb="110" eb="114">
      <t>サギョウケイカク</t>
    </rPh>
    <rPh sb="120" eb="123">
      <t>カイハツマエ</t>
    </rPh>
    <rPh sb="126" eb="128">
      <t>ケイカク</t>
    </rPh>
    <rPh sb="129" eb="130">
      <t>タ</t>
    </rPh>
    <rPh sb="134" eb="139">
      <t>ヨウケンテイギショ</t>
    </rPh>
    <rPh sb="140" eb="141">
      <t>ヨ</t>
    </rPh>
    <rPh sb="142" eb="143">
      <t>コ</t>
    </rPh>
    <rPh sb="145" eb="146">
      <t>オコナ</t>
    </rPh>
    <rPh sb="158" eb="160">
      <t>コウテイ</t>
    </rPh>
    <rPh sb="169" eb="171">
      <t>ウンエイ</t>
    </rPh>
    <rPh sb="171" eb="173">
      <t>ホウシン</t>
    </rPh>
    <rPh sb="173" eb="175">
      <t>カクニン</t>
    </rPh>
    <rPh sb="177" eb="179">
      <t>カイハツ</t>
    </rPh>
    <rPh sb="179" eb="180">
      <t>ナカ</t>
    </rPh>
    <rPh sb="181" eb="186">
      <t>ヨウケンテイギショ</t>
    </rPh>
    <rPh sb="187" eb="188">
      <t>ヨ</t>
    </rPh>
    <rPh sb="189" eb="190">
      <t>コ</t>
    </rPh>
    <rPh sb="193" eb="195">
      <t>ノウヒン</t>
    </rPh>
    <rPh sb="204" eb="206">
      <t>コウテイ</t>
    </rPh>
    <rPh sb="206" eb="207">
      <t>レイ</t>
    </rPh>
    <rPh sb="220" eb="224">
      <t>ノウヒンサギョウ</t>
    </rPh>
    <rPh sb="226" eb="228">
      <t>カイハツ</t>
    </rPh>
    <rPh sb="228" eb="229">
      <t>ゴ</t>
    </rPh>
    <rPh sb="230" eb="233">
      <t>ノウヒンアト</t>
    </rPh>
    <rPh sb="234" eb="235">
      <t>ワ</t>
    </rPh>
    <rPh sb="239" eb="241">
      <t>タイオウ</t>
    </rPh>
    <rPh sb="248" eb="250">
      <t>コウテイ</t>
    </rPh>
    <rPh sb="250" eb="251">
      <t>レイ</t>
    </rPh>
    <rPh sb="252" eb="254">
      <t>シャナイ</t>
    </rPh>
    <rPh sb="254" eb="256">
      <t>ウケイレ</t>
    </rPh>
    <rPh sb="256" eb="258">
      <t>シテキ</t>
    </rPh>
    <rPh sb="258" eb="260">
      <t>タイオウ</t>
    </rPh>
    <rPh sb="261" eb="263">
      <t>コキャク</t>
    </rPh>
    <rPh sb="263" eb="267">
      <t>シテキタイオウ</t>
    </rPh>
    <phoneticPr fontId="1"/>
  </si>
  <si>
    <t>DBサーバ構築</t>
    <rPh sb="5" eb="7">
      <t>コウチク</t>
    </rPh>
    <phoneticPr fontId="1"/>
  </si>
  <si>
    <t>開発中</t>
  </si>
  <si>
    <t>開発中</t>
    <rPh sb="0" eb="2">
      <t>カイハツ</t>
    </rPh>
    <rPh sb="2" eb="3">
      <t>チュウ</t>
    </rPh>
    <phoneticPr fontId="1"/>
  </si>
  <si>
    <t>SS</t>
    <phoneticPr fontId="1"/>
  </si>
  <si>
    <t>詳細設計書記載</t>
    <rPh sb="0" eb="5">
      <t>ショウサイセッケイショ</t>
    </rPh>
    <rPh sb="5" eb="7">
      <t>キサイ</t>
    </rPh>
    <phoneticPr fontId="1"/>
  </si>
  <si>
    <t>担当</t>
    <rPh sb="0" eb="2">
      <t>タントウ</t>
    </rPh>
    <phoneticPr fontId="1"/>
  </si>
  <si>
    <t>20240604-013013956</t>
    <phoneticPr fontId="1"/>
  </si>
  <si>
    <t>20240604-01302318</t>
    <phoneticPr fontId="1"/>
  </si>
  <si>
    <t>機能名</t>
    <rPh sb="0" eb="2">
      <t>キノウ</t>
    </rPh>
    <rPh sb="2" eb="3">
      <t>メイ</t>
    </rPh>
    <phoneticPr fontId="1"/>
  </si>
  <si>
    <t>ADXXxxxxxx-01_テスト用●●●●●●</t>
    <rPh sb="17" eb="18">
      <t>ヨウ</t>
    </rPh>
    <phoneticPr fontId="1"/>
  </si>
  <si>
    <t>名称</t>
  </si>
  <si>
    <t>元日</t>
  </si>
  <si>
    <t>成人の日</t>
  </si>
  <si>
    <t>建国記念の日</t>
  </si>
  <si>
    <t>休日</t>
  </si>
  <si>
    <t>祝日法第3条第2項による休日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</si>
  <si>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</si>
  <si>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</si>
  <si>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</si>
  <si>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</si>
  <si>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</si>
  <si>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</si>
  <si>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</si>
  <si>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</si>
  <si>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</si>
  <si>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</si>
  <si>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</si>
  <si>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</si>
  <si>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</si>
  <si>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PJ開始日：</t>
    <rPh sb="2" eb="5">
      <t>カイシビ</t>
    </rPh>
    <phoneticPr fontId="1"/>
  </si>
  <si>
    <t>PJ名：</t>
    <rPh sb="2" eb="3">
      <t>メイ</t>
    </rPh>
    <phoneticPr fontId="1"/>
  </si>
  <si>
    <t>ここにPJ名を入力</t>
    <rPh sb="5" eb="6">
      <t>メイ</t>
    </rPh>
    <rPh sb="7" eb="9">
      <t>ニュウリョク</t>
    </rPh>
    <phoneticPr fontId="1"/>
  </si>
  <si>
    <t>さらにデータを追加するには、この行の上に新しい行を挿入します。</t>
  </si>
  <si>
    <t>PJ終了日：</t>
    <rPh sb="2" eb="4">
      <t>シュウリョウ</t>
    </rPh>
    <rPh sb="4" eb="5">
      <t>ビ</t>
    </rPh>
    <phoneticPr fontId="1"/>
  </si>
  <si>
    <t>工程↓</t>
    <rPh sb="0" eb="2">
      <t>コウテイ</t>
    </rPh>
    <phoneticPr fontId="1"/>
  </si>
  <si>
    <t>フェイズ→</t>
    <phoneticPr fontId="1"/>
  </si>
  <si>
    <t>スケジュール作成</t>
    <phoneticPr fontId="1"/>
  </si>
  <si>
    <t>作業計画meet</t>
  </si>
  <si>
    <t>環境構築</t>
    <phoneticPr fontId="1"/>
  </si>
  <si>
    <t>PJ運営方針確認</t>
  </si>
  <si>
    <t>UI</t>
    <phoneticPr fontId="1"/>
  </si>
  <si>
    <t>PG</t>
    <phoneticPr fontId="1"/>
  </si>
  <si>
    <t>PT</t>
    <phoneticPr fontId="1"/>
  </si>
  <si>
    <t>IT</t>
    <phoneticPr fontId="1"/>
  </si>
  <si>
    <t>納品作業</t>
  </si>
  <si>
    <t>開発後</t>
    <rPh sb="0" eb="2">
      <t>カイハツ</t>
    </rPh>
    <rPh sb="2" eb="3">
      <t>アト</t>
    </rPh>
    <phoneticPr fontId="1"/>
  </si>
  <si>
    <t>社内受入指摘対応</t>
  </si>
  <si>
    <t>社内受入指摘対応</t>
    <phoneticPr fontId="1"/>
  </si>
  <si>
    <t>顧客指摘対応</t>
  </si>
  <si>
    <t>状況→</t>
    <rPh sb="0" eb="2">
      <t>ジョウキョウ</t>
    </rPh>
    <phoneticPr fontId="1"/>
  </si>
  <si>
    <t>計画中</t>
  </si>
  <si>
    <t>未着手</t>
  </si>
  <si>
    <t>着手中</t>
  </si>
  <si>
    <t>完了</t>
  </si>
  <si>
    <t>廃止</t>
  </si>
  <si>
    <t>20240604-02202318</t>
    <phoneticPr fontId="1"/>
  </si>
  <si>
    <t>開発後</t>
    <rPh sb="0" eb="3">
      <t>カイハツアト</t>
    </rPh>
    <phoneticPr fontId="1"/>
  </si>
  <si>
    <t>No39_〇〇が出力されない</t>
    <rPh sb="8" eb="10">
      <t>シュツリョク</t>
    </rPh>
    <phoneticPr fontId="1"/>
  </si>
  <si>
    <t>小項目</t>
    <rPh sb="0" eb="3">
      <t>ショウコウモク</t>
    </rPh>
    <phoneticPr fontId="1"/>
  </si>
  <si>
    <t>シート「MAIN」</t>
    <phoneticPr fontId="1"/>
  </si>
  <si>
    <t>計画時タスク→</t>
    <rPh sb="0" eb="2">
      <t>ケイカク</t>
    </rPh>
    <rPh sb="2" eb="3">
      <t>トキ</t>
    </rPh>
    <phoneticPr fontId="1"/>
  </si>
  <si>
    <t>✅</t>
  </si>
  <si>
    <t>詳細設計書類レビュー後修正</t>
    <rPh sb="0" eb="4">
      <t>ショウサイセッケイ</t>
    </rPh>
    <rPh sb="4" eb="6">
      <t>ショルイ</t>
    </rPh>
    <rPh sb="10" eb="11">
      <t>アト</t>
    </rPh>
    <rPh sb="11" eb="13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</si>
</sst>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9" formatCode="mm/dd"/>
    <numFmt numFmtId="180" formatCode="[h]:mm"/>
    <numFmt numFmtId="185" formatCode="yyyy/mm/dd\ ddd"/>
    <numFmt numFmtId="186" formatCode="mm/dd\ ddd"/>
  </numFmts>
  <fonts count="6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6"/>
      <color theme="0"/>
      <name val="メイリオ"/>
      <family val="3"/>
      <charset val="128"/>
    </font>
    <font>
      <sz val="11"/>
      <color theme="1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wrapText="1"/>
    </xf>
    <xf numFmtId="0" fontId="0" fillId="2" borderId="0" xfId="0" applyFont="1" applyFill="1">
      <alignment vertical="center"/>
    </xf>
    <xf numFmtId="0" fontId="0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right" vertical="center"/>
    </xf>
    <xf numFmtId="20" fontId="0" fillId="0" borderId="0" xfId="0" applyNumberFormat="1" applyBorder="1">
      <alignment vertical="center"/>
    </xf>
    <xf numFmtId="179" fontId="0" fillId="0" borderId="0" xfId="0" applyNumberFormat="1" applyFont="1" applyBorder="1">
      <alignment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179" fontId="0" fillId="0" borderId="0" xfId="0" applyNumberForma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Border="1" applyAlignment="1">
      <alignment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Border="1" applyAlignment="1">
      <alignment vertical="top"/>
    </xf>
    <xf numFmtId="0" fontId="0" fillId="0" borderId="0" xfId="0" applyFont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Font="1" applyFill="1" applyBorder="1" applyAlignment="1">
      <alignment vertical="top"/>
    </xf>
    <xf numFmtId="0" fontId="0" fillId="0" borderId="0" xfId="0" applyFont="1" applyFill="1" applyBorder="1" applyAlignment="1">
      <alignment vertical="top" wrapText="1"/>
    </xf>
    <xf numFmtId="0" fontId="0" fillId="0" borderId="0" xfId="0" applyAlignment="1">
      <alignment vertical="center" wrapText="1"/>
    </xf>
    <xf numFmtId="180" fontId="0" fillId="2" borderId="0" xfId="0" applyNumberFormat="1" applyFont="1" applyFill="1">
      <alignment vertical="center"/>
    </xf>
    <xf numFmtId="180" fontId="0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 applyAlignment="1">
      <alignment vertical="top" wrapText="1"/>
    </xf>
    <xf numFmtId="0" fontId="0" fillId="0" borderId="0" xfId="0" applyBorder="1" applyAlignment="1">
      <alignment vertical="center" wrapText="1"/>
    </xf>
    <xf numFmtId="185" fontId="0" fillId="0" borderId="0" xfId="0" applyNumberFormat="1" applyAlignment="1">
      <alignment horizontal="left" vertical="center"/>
    </xf>
    <xf numFmtId="186" fontId="0" fillId="0" borderId="1" xfId="0" applyNumberFormat="1" applyFont="1" applyBorder="1" applyAlignment="1">
      <alignment horizontal="left"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horizontal="left" vertical="center"/>
    </xf>
    <xf numFmtId="180" fontId="0" fillId="3" borderId="0" xfId="0" applyNumberFormat="1" applyFill="1">
      <alignment vertical="center"/>
    </xf>
    <xf numFmtId="0" fontId="0" fillId="3" borderId="0" xfId="0" applyFont="1" applyFill="1">
      <alignment vertical="center"/>
    </xf>
    <xf numFmtId="179" fontId="0" fillId="3" borderId="0" xfId="0" applyNumberFormat="1" applyFill="1">
      <alignment vertical="center"/>
    </xf>
    <xf numFmtId="0" fontId="0" fillId="3" borderId="0" xfId="0" applyFill="1" applyBorder="1">
      <alignment vertical="center"/>
    </xf>
    <xf numFmtId="20" fontId="0" fillId="3" borderId="0" xfId="0" applyNumberFormat="1" applyFill="1" applyBorder="1">
      <alignment vertical="center"/>
    </xf>
    <xf numFmtId="0" fontId="0" fillId="3" borderId="0" xfId="0" applyFill="1" applyAlignment="1">
      <alignment vertical="top"/>
    </xf>
    <xf numFmtId="0" fontId="0" fillId="3" borderId="0" xfId="0" applyFont="1" applyFill="1" applyAlignment="1">
      <alignment vertical="center"/>
    </xf>
    <xf numFmtId="186" fontId="0" fillId="0" borderId="0" xfId="0" applyNumberFormat="1" applyBorder="1">
      <alignment vertical="center"/>
    </xf>
    <xf numFmtId="186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10"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2"/>
        <charset val="128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2"/>
        <charset val="128"/>
        <scheme val="none"/>
      </font>
    </dxf>
  </dxfs>
  <tableStyles count="0" defaultTableStyle="TableStyleMedium2" defaultPivotStyle="PivotStyleLight16"/>
  <colors>
    <mruColors>
      <color rgb="FFFF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18</xdr:row>
      <xdr:rowOff>28573</xdr:rowOff>
    </xdr:from>
    <xdr:to>
      <xdr:col>5</xdr:col>
      <xdr:colOff>57150</xdr:colOff>
      <xdr:row>37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3B2FB3E-5468-42F4-1C3B-183619EA368C}"/>
            </a:ext>
          </a:extLst>
        </xdr:cNvPr>
        <xdr:cNvSpPr/>
      </xdr:nvSpPr>
      <xdr:spPr>
        <a:xfrm>
          <a:off x="466724" y="5419723"/>
          <a:ext cx="4114801" cy="4543427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行追加を行った際、追加行の開始行と範囲を検知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If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 </a:t>
          </a: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追加対象と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1-8</a:t>
          </a: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行目がかぶってる 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Then</a:t>
          </a:r>
        </a:p>
        <a:p>
          <a:pPr algn="l">
            <a:lnSpc>
              <a:spcPct val="80000"/>
            </a:lnSpc>
          </a:pP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行追加をキャンセル</a:t>
          </a:r>
          <a:endParaRPr kumimoji="1" lang="en-US" altLang="ja-JP" sz="1100" baseline="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追加できない旨の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エラーメッセージポップアップ出力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pPr algn="l">
            <a:lnSpc>
              <a:spcPct val="80000"/>
            </a:lnSpc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　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Exit Function</a:t>
          </a:r>
          <a:endParaRPr kumimoji="1" lang="en-US" altLang="ja-JP" sz="1100" baseline="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End If 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If 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削除対象が最下行番号以降しかない 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Then</a:t>
          </a: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なにもしない（行追加だけはする）</a:t>
          </a: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Exit Function</a:t>
          </a:r>
        </a:p>
        <a:p>
          <a:pPr algn="l">
            <a:lnSpc>
              <a:spcPct val="80000"/>
            </a:lnSpc>
          </a:pP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End If</a:t>
          </a:r>
        </a:p>
        <a:p>
          <a:pPr algn="l">
            <a:lnSpc>
              <a:spcPct val="80000"/>
            </a:lnSpc>
          </a:pP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行を追加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No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を自動で算出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・フェイズ、工程、計画タスクのプルダウン付与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・着手工数欄の算出範囲を調整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・条件付き書式の条件、範囲確認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変数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.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最下行番号 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+= 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追加行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 </a:t>
          </a:r>
        </a:p>
      </xdr:txBody>
    </xdr:sp>
    <xdr:clientData/>
  </xdr:twoCellAnchor>
  <xdr:twoCellAnchor>
    <xdr:from>
      <xdr:col>4</xdr:col>
      <xdr:colOff>161925</xdr:colOff>
      <xdr:row>1</xdr:row>
      <xdr:rowOff>57150</xdr:rowOff>
    </xdr:from>
    <xdr:to>
      <xdr:col>6</xdr:col>
      <xdr:colOff>552450</xdr:colOff>
      <xdr:row>5</xdr:row>
      <xdr:rowOff>95250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74EEF40-41A5-DAE4-ECC5-E792B19FD08E}"/>
            </a:ext>
          </a:extLst>
        </xdr:cNvPr>
        <xdr:cNvSpPr/>
      </xdr:nvSpPr>
      <xdr:spPr>
        <a:xfrm>
          <a:off x="3943350" y="371475"/>
          <a:ext cx="3371850" cy="1066800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>
            <a:lnSpc>
              <a:spcPct val="80000"/>
            </a:lnSpc>
          </a:pP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PJ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開始日 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or PJ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終了日 が入力された際、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逆転が起こっていないかを確認したうえで、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S5-S7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セル以降で現状の最大日付のセルから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列追加 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or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 </a:t>
          </a: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列削除を行う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</xdr:col>
      <xdr:colOff>781049</xdr:colOff>
      <xdr:row>18</xdr:row>
      <xdr:rowOff>114300</xdr:rowOff>
    </xdr:from>
    <xdr:to>
      <xdr:col>9</xdr:col>
      <xdr:colOff>457200</xdr:colOff>
      <xdr:row>31</xdr:row>
      <xdr:rowOff>104775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91E18539-9E06-F9CF-5E1D-508B66FEC094}"/>
            </a:ext>
          </a:extLst>
        </xdr:cNvPr>
        <xdr:cNvSpPr/>
      </xdr:nvSpPr>
      <xdr:spPr>
        <a:xfrm>
          <a:off x="5305424" y="5505450"/>
          <a:ext cx="4572001" cy="3086100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行削除を行った際、削除行の行数と範囲を検知して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If 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削除対象と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1-8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行目がかぶってる 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Then</a:t>
          </a: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行削除をキャンセル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削除できない旨のエラーメッセージポップアップ出力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Exit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 Function</a:t>
          </a:r>
        </a:p>
        <a:p>
          <a:pPr algn="l">
            <a:lnSpc>
              <a:spcPct val="80000"/>
            </a:lnSpc>
          </a:pP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End If</a:t>
          </a:r>
        </a:p>
        <a:p>
          <a:pPr algn="l">
            <a:lnSpc>
              <a:spcPct val="80000"/>
            </a:lnSpc>
          </a:pP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If </a:t>
          </a: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削除対象が最下行番号以降しかない 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Then</a:t>
          </a:r>
        </a:p>
        <a:p>
          <a:pPr algn="l">
            <a:lnSpc>
              <a:spcPct val="80000"/>
            </a:lnSpc>
          </a:pP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なにもしない（行削除する）</a:t>
          </a:r>
          <a:endParaRPr kumimoji="1" lang="en-US" altLang="ja-JP" sz="1100" baseline="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Exit Function</a:t>
          </a:r>
        </a:p>
        <a:p>
          <a:pPr algn="l">
            <a:lnSpc>
              <a:spcPct val="80000"/>
            </a:lnSpc>
          </a:pPr>
          <a:r>
            <a:rPr kumimoji="1" lang="en-US" altLang="ja-JP" sz="11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End If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・着手工数欄の算出範囲を調整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・条件付き書式の条件、範囲確認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変数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.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最下行番号 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-= 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削除行数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 </a:t>
          </a:r>
        </a:p>
      </xdr:txBody>
    </xdr:sp>
    <xdr:clientData/>
  </xdr:twoCellAnchor>
  <xdr:twoCellAnchor>
    <xdr:from>
      <xdr:col>5</xdr:col>
      <xdr:colOff>838199</xdr:colOff>
      <xdr:row>33</xdr:row>
      <xdr:rowOff>38100</xdr:rowOff>
    </xdr:from>
    <xdr:to>
      <xdr:col>8</xdr:col>
      <xdr:colOff>85724</xdr:colOff>
      <xdr:row>36</xdr:row>
      <xdr:rowOff>47625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F112DB4-8E98-CF88-F932-99E257888C0B}"/>
            </a:ext>
          </a:extLst>
        </xdr:cNvPr>
        <xdr:cNvSpPr/>
      </xdr:nvSpPr>
      <xdr:spPr>
        <a:xfrm>
          <a:off x="5362574" y="9001125"/>
          <a:ext cx="3438525" cy="723900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行移動を行った際、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>
            <a:lnSpc>
              <a:spcPct val="80000"/>
            </a:lnSpc>
          </a:pP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・条件付き書式の条件、範囲確認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0AEE3B-E46F-44C9-B330-28DF2BC5E058}" name="テーブル1" displayName="テーブル1" ref="A3:D22" totalsRowShown="0" headerRowDxfId="7" dataDxfId="8">
  <autoFilter ref="A3:D22" xr:uid="{050AEE3B-E46F-44C9-B330-28DF2BC5E058}"/>
  <tableColumns count="4">
    <tableColumn id="1" xr3:uid="{C20EF0C0-227F-4619-B743-6A148DEAA890}" name="項目" dataDxfId="9"/>
    <tableColumn id="3" xr3:uid="{9D33504B-3603-4D1E-AD25-CF8B89252C81}" name="ジャンル" dataDxfId="6"/>
    <tableColumn id="2" xr3:uid="{BB90F25B-0536-411A-AF67-914C94593338}" name="手入力/自動算出" dataDxfId="5"/>
    <tableColumn id="5" xr3:uid="{B8970E0F-8426-4378-BFB9-9D237D636BDC}" name="説明" dataDxfId="4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青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ysClr val="window" lastClr="FFFFFF"/>
        </a:solidFill>
        <a:ln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lnSpc>
            <a:spcPct val="80000"/>
          </a:lnSpc>
          <a:defRPr kumimoji="1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7224D-920D-4C28-B086-1D74A39BCA46}">
  <sheetPr codeName="Sheet1"/>
  <dimension ref="A1:D22"/>
  <sheetViews>
    <sheetView topLeftCell="A10" workbookViewId="0">
      <selection activeCell="D15" sqref="D15"/>
    </sheetView>
  </sheetViews>
  <sheetFormatPr defaultColWidth="4.77734375" defaultRowHeight="18.75" x14ac:dyDescent="0.45"/>
  <cols>
    <col min="1" max="1" width="17.21875" style="3" bestFit="1" customWidth="1"/>
    <col min="2" max="2" width="17.21875" style="3" customWidth="1"/>
    <col min="3" max="3" width="15.109375" style="3" customWidth="1"/>
    <col min="4" max="4" width="60.77734375" style="4" customWidth="1"/>
    <col min="5" max="5" width="8.21875" style="3" bestFit="1" customWidth="1"/>
    <col min="6" max="16384" width="4.77734375" style="3"/>
  </cols>
  <sheetData>
    <row r="1" spans="1:4" s="5" customFormat="1" ht="24.75" x14ac:dyDescent="0.45">
      <c r="A1" s="7" t="s">
        <v>44</v>
      </c>
      <c r="D1" s="6"/>
    </row>
    <row r="3" spans="1:4" x14ac:dyDescent="0.45">
      <c r="A3" s="3" t="s">
        <v>13</v>
      </c>
      <c r="B3" s="3" t="s">
        <v>22</v>
      </c>
      <c r="C3" s="3" t="s">
        <v>12</v>
      </c>
      <c r="D3" s="4" t="s">
        <v>25</v>
      </c>
    </row>
    <row r="4" spans="1:4" ht="56.25" x14ac:dyDescent="0.45">
      <c r="A4" s="3" t="s">
        <v>45</v>
      </c>
      <c r="B4" s="3" t="s">
        <v>23</v>
      </c>
      <c r="C4" s="3" t="s">
        <v>11</v>
      </c>
      <c r="D4" s="4" t="s">
        <v>47</v>
      </c>
    </row>
    <row r="5" spans="1:4" ht="56.25" x14ac:dyDescent="0.45">
      <c r="A5" s="3" t="s">
        <v>26</v>
      </c>
      <c r="B5" s="3" t="s">
        <v>23</v>
      </c>
      <c r="C5" s="3" t="s">
        <v>11</v>
      </c>
      <c r="D5" s="4" t="s">
        <v>46</v>
      </c>
    </row>
    <row r="6" spans="1:4" ht="187.5" x14ac:dyDescent="0.45">
      <c r="A6" s="3" t="s">
        <v>27</v>
      </c>
      <c r="C6" s="3" t="s">
        <v>10</v>
      </c>
      <c r="D6" s="4" t="s">
        <v>78</v>
      </c>
    </row>
    <row r="7" spans="1:4" ht="37.5" x14ac:dyDescent="0.45">
      <c r="A7" s="3" t="s">
        <v>1</v>
      </c>
      <c r="C7" s="3" t="s">
        <v>14</v>
      </c>
      <c r="D7" s="4" t="s">
        <v>28</v>
      </c>
    </row>
    <row r="8" spans="1:4" ht="37.5" x14ac:dyDescent="0.45">
      <c r="A8" s="3" t="s">
        <v>2</v>
      </c>
      <c r="C8" s="3" t="s">
        <v>14</v>
      </c>
      <c r="D8" s="4" t="s">
        <v>29</v>
      </c>
    </row>
    <row r="9" spans="1:4" ht="37.5" x14ac:dyDescent="0.45">
      <c r="A9" s="3" t="s">
        <v>3</v>
      </c>
      <c r="C9" s="3" t="s">
        <v>14</v>
      </c>
      <c r="D9" s="4" t="s">
        <v>30</v>
      </c>
    </row>
    <row r="10" spans="1:4" ht="75" x14ac:dyDescent="0.45">
      <c r="A10" s="3" t="s">
        <v>24</v>
      </c>
      <c r="D10" s="4" t="s">
        <v>31</v>
      </c>
    </row>
    <row r="11" spans="1:4" ht="37.5" x14ac:dyDescent="0.45">
      <c r="A11" s="3" t="s">
        <v>6</v>
      </c>
      <c r="C11" s="3" t="s">
        <v>14</v>
      </c>
      <c r="D11" s="4" t="s">
        <v>32</v>
      </c>
    </row>
    <row r="12" spans="1:4" x14ac:dyDescent="0.45">
      <c r="A12" s="3" t="s">
        <v>4</v>
      </c>
      <c r="C12" s="3" t="s">
        <v>14</v>
      </c>
      <c r="D12" s="4" t="s">
        <v>33</v>
      </c>
    </row>
    <row r="13" spans="1:4" ht="37.5" x14ac:dyDescent="0.45">
      <c r="A13" s="3" t="s">
        <v>5</v>
      </c>
      <c r="C13" s="3" t="s">
        <v>14</v>
      </c>
      <c r="D13" s="4" t="s">
        <v>34</v>
      </c>
    </row>
    <row r="14" spans="1:4" ht="37.5" x14ac:dyDescent="0.45">
      <c r="A14" s="3" t="s">
        <v>7</v>
      </c>
      <c r="C14" s="3" t="s">
        <v>11</v>
      </c>
      <c r="D14" s="4" t="s">
        <v>35</v>
      </c>
    </row>
    <row r="15" spans="1:4" ht="56.25" x14ac:dyDescent="0.45">
      <c r="A15" s="3" t="s">
        <v>8</v>
      </c>
      <c r="C15" s="3" t="s">
        <v>11</v>
      </c>
      <c r="D15" s="4" t="s">
        <v>36</v>
      </c>
    </row>
    <row r="16" spans="1:4" ht="56.25" x14ac:dyDescent="0.45">
      <c r="A16" s="3" t="s">
        <v>9</v>
      </c>
      <c r="C16" s="3" t="s">
        <v>11</v>
      </c>
      <c r="D16" s="4" t="s">
        <v>37</v>
      </c>
    </row>
    <row r="17" spans="1:4" x14ac:dyDescent="0.45">
      <c r="A17" s="3" t="s">
        <v>0</v>
      </c>
      <c r="C17" s="3" t="s">
        <v>11</v>
      </c>
      <c r="D17" s="4" t="s">
        <v>38</v>
      </c>
    </row>
    <row r="18" spans="1:4" ht="37.5" x14ac:dyDescent="0.45">
      <c r="A18" s="3" t="s">
        <v>17</v>
      </c>
      <c r="C18" s="3" t="s">
        <v>10</v>
      </c>
      <c r="D18" s="4" t="s">
        <v>39</v>
      </c>
    </row>
    <row r="19" spans="1:4" ht="37.5" x14ac:dyDescent="0.45">
      <c r="A19" s="3" t="s">
        <v>16</v>
      </c>
      <c r="C19" s="3" t="s">
        <v>10</v>
      </c>
      <c r="D19" s="4" t="s">
        <v>40</v>
      </c>
    </row>
    <row r="20" spans="1:4" ht="37.5" x14ac:dyDescent="0.45">
      <c r="A20" s="3" t="s">
        <v>18</v>
      </c>
      <c r="C20" s="3" t="s">
        <v>11</v>
      </c>
      <c r="D20" s="4" t="s">
        <v>41</v>
      </c>
    </row>
    <row r="21" spans="1:4" ht="37.5" x14ac:dyDescent="0.45">
      <c r="A21" s="3" t="s">
        <v>19</v>
      </c>
      <c r="C21" s="3" t="s">
        <v>11</v>
      </c>
      <c r="D21" s="4" t="s">
        <v>42</v>
      </c>
    </row>
    <row r="22" spans="1:4" ht="75" x14ac:dyDescent="0.45">
      <c r="A22" s="3" t="s">
        <v>21</v>
      </c>
      <c r="C22" s="3" t="s">
        <v>10</v>
      </c>
      <c r="D22" s="4" t="s">
        <v>43</v>
      </c>
    </row>
  </sheetData>
  <phoneticPr fontId="1"/>
  <dataValidations count="1">
    <dataValidation type="list" allowBlank="1" showInputMessage="1" showErrorMessage="1" sqref="C4:C22" xr:uid="{116FEF25-221B-4DD5-89D8-44F77988CABC}">
      <formula1>"手入力,自動算出"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254E9-328C-4266-8BC7-A93CA43049DC}">
  <sheetPr codeName="Sheet2"/>
  <dimension ref="A1:AQ17"/>
  <sheetViews>
    <sheetView tabSelected="1" workbookViewId="0">
      <pane xSplit="11" ySplit="8" topLeftCell="L9" activePane="bottomRight" state="frozen"/>
      <selection pane="topRight" activeCell="L1" sqref="L1"/>
      <selection pane="bottomLeft" activeCell="A9" sqref="A9"/>
      <selection pane="bottomRight"/>
    </sheetView>
  </sheetViews>
  <sheetFormatPr defaultColWidth="5.77734375" defaultRowHeight="18.75" x14ac:dyDescent="0.45"/>
  <cols>
    <col min="1" max="1" width="4.88671875" customWidth="1"/>
    <col min="2" max="2" width="5.109375" customWidth="1"/>
    <col min="3" max="3" width="10.44140625" customWidth="1"/>
    <col min="4" max="4" width="23.6640625" style="26" customWidth="1"/>
    <col min="5" max="5" width="8.6640625" customWidth="1"/>
    <col min="6" max="6" width="26.109375" customWidth="1"/>
    <col min="7" max="7" width="16" customWidth="1"/>
    <col min="8" max="8" width="6.77734375" customWidth="1"/>
    <col min="9" max="9" width="8.21875" customWidth="1"/>
    <col min="10" max="11" width="9.88671875" bestFit="1" customWidth="1"/>
    <col min="12" max="13" width="8.21875" style="29" bestFit="1" customWidth="1"/>
    <col min="14" max="17" width="10.88671875" customWidth="1"/>
    <col min="18" max="18" width="6.5546875" bestFit="1" customWidth="1"/>
    <col min="19" max="19" width="20.77734375" customWidth="1"/>
    <col min="20" max="20" width="5.77734375" customWidth="1"/>
    <col min="21" max="21" width="6.33203125" bestFit="1" customWidth="1"/>
    <col min="39" max="39" width="3.5546875" style="36" customWidth="1"/>
  </cols>
  <sheetData>
    <row r="1" spans="1:43" s="5" customFormat="1" ht="24.75" x14ac:dyDescent="0.45">
      <c r="A1" s="7" t="s">
        <v>44</v>
      </c>
      <c r="D1" s="6"/>
      <c r="L1" s="27"/>
      <c r="M1" s="27"/>
    </row>
    <row r="2" spans="1:43" s="3" customFormat="1" x14ac:dyDescent="0.45">
      <c r="D2" s="4"/>
      <c r="L2" s="28"/>
      <c r="M2" s="28"/>
      <c r="AM2" s="45"/>
    </row>
    <row r="3" spans="1:43" s="3" customFormat="1" ht="23.25" thickBot="1" x14ac:dyDescent="0.5">
      <c r="B3" s="3" t="s">
        <v>109</v>
      </c>
      <c r="D3" s="35" t="s">
        <v>110</v>
      </c>
      <c r="L3" s="28"/>
      <c r="M3" s="28"/>
      <c r="AM3" s="40"/>
    </row>
    <row r="4" spans="1:43" ht="19.5" thickBot="1" x14ac:dyDescent="0.5">
      <c r="B4" s="3" t="s">
        <v>108</v>
      </c>
      <c r="C4" s="3"/>
      <c r="D4" s="34">
        <v>45446</v>
      </c>
      <c r="H4" s="10" t="s">
        <v>52</v>
      </c>
      <c r="T4" s="9" t="s">
        <v>0</v>
      </c>
    </row>
    <row r="5" spans="1:43" ht="19.5" thickBot="1" x14ac:dyDescent="0.5">
      <c r="B5" s="3" t="s">
        <v>112</v>
      </c>
      <c r="D5" s="34">
        <v>45463</v>
      </c>
      <c r="H5" s="10" t="s">
        <v>54</v>
      </c>
      <c r="S5" s="14" t="s">
        <v>50</v>
      </c>
      <c r="T5" s="13">
        <f>D4</f>
        <v>45446</v>
      </c>
      <c r="U5" s="16">
        <f>IF(T5&lt;$D$5, T5+1, "")</f>
        <v>45447</v>
      </c>
      <c r="V5" s="16">
        <f t="shared" ref="V5:AK5" si="0">IF(U5&lt;$D$5, U5+1, "")</f>
        <v>45448</v>
      </c>
      <c r="W5" s="16">
        <f t="shared" si="0"/>
        <v>45449</v>
      </c>
      <c r="X5" s="16">
        <f t="shared" si="0"/>
        <v>45450</v>
      </c>
      <c r="Y5" s="16">
        <f t="shared" si="0"/>
        <v>45451</v>
      </c>
      <c r="Z5" s="16">
        <f t="shared" si="0"/>
        <v>45452</v>
      </c>
      <c r="AA5" s="16">
        <f t="shared" si="0"/>
        <v>45453</v>
      </c>
      <c r="AB5" s="16">
        <f t="shared" si="0"/>
        <v>45454</v>
      </c>
      <c r="AC5" s="16">
        <f t="shared" si="0"/>
        <v>45455</v>
      </c>
      <c r="AD5" s="16">
        <f t="shared" si="0"/>
        <v>45456</v>
      </c>
      <c r="AE5" s="16">
        <f t="shared" si="0"/>
        <v>45457</v>
      </c>
      <c r="AF5" s="16">
        <f t="shared" si="0"/>
        <v>45458</v>
      </c>
      <c r="AG5" s="16">
        <f t="shared" si="0"/>
        <v>45459</v>
      </c>
      <c r="AH5" s="16">
        <f t="shared" si="0"/>
        <v>45460</v>
      </c>
      <c r="AI5" s="16">
        <f t="shared" si="0"/>
        <v>45461</v>
      </c>
      <c r="AJ5" s="16">
        <f t="shared" si="0"/>
        <v>45462</v>
      </c>
      <c r="AK5" s="16">
        <f t="shared" si="0"/>
        <v>45463</v>
      </c>
      <c r="AL5" s="16"/>
      <c r="AM5" s="41"/>
      <c r="AN5" s="16"/>
      <c r="AO5" s="16"/>
      <c r="AP5" s="16"/>
      <c r="AQ5" s="16"/>
    </row>
    <row r="6" spans="1:43" x14ac:dyDescent="0.45">
      <c r="A6" s="8"/>
      <c r="B6" s="8"/>
      <c r="C6" s="8"/>
      <c r="D6" s="32"/>
      <c r="E6" s="8"/>
      <c r="H6" s="11" t="s">
        <v>55</v>
      </c>
      <c r="I6" s="8"/>
      <c r="J6" s="8"/>
      <c r="K6" s="8"/>
      <c r="L6" s="30"/>
      <c r="M6" s="30"/>
      <c r="N6" s="8"/>
      <c r="O6" s="8"/>
      <c r="P6" s="8"/>
      <c r="Q6" s="8"/>
      <c r="R6" s="8"/>
      <c r="S6" s="15" t="s">
        <v>49</v>
      </c>
      <c r="T6" s="8" t="str">
        <f>IF(LEN(T5), TEXT(WEEKDAY(T5), "ddd"), "")</f>
        <v>Mon</v>
      </c>
      <c r="U6" s="8" t="str">
        <f t="shared" ref="U6:AK6" si="1">IF(LEN(U5), TEXT(WEEKDAY(U5), "ddd"), "")</f>
        <v>Tue</v>
      </c>
      <c r="V6" s="8" t="str">
        <f t="shared" si="1"/>
        <v>Wed</v>
      </c>
      <c r="W6" s="8" t="str">
        <f t="shared" si="1"/>
        <v>Thu</v>
      </c>
      <c r="X6" s="8" t="str">
        <f t="shared" si="1"/>
        <v>Fri</v>
      </c>
      <c r="Y6" s="8" t="str">
        <f t="shared" si="1"/>
        <v>Sat</v>
      </c>
      <c r="Z6" s="8" t="str">
        <f t="shared" si="1"/>
        <v>Sun</v>
      </c>
      <c r="AA6" s="8" t="str">
        <f t="shared" si="1"/>
        <v>Mon</v>
      </c>
      <c r="AB6" s="8" t="str">
        <f t="shared" si="1"/>
        <v>Tue</v>
      </c>
      <c r="AC6" s="8" t="str">
        <f t="shared" si="1"/>
        <v>Wed</v>
      </c>
      <c r="AD6" s="8" t="str">
        <f t="shared" si="1"/>
        <v>Thu</v>
      </c>
      <c r="AE6" s="8" t="str">
        <f t="shared" si="1"/>
        <v>Fri</v>
      </c>
      <c r="AF6" s="8" t="str">
        <f t="shared" si="1"/>
        <v>Sat</v>
      </c>
      <c r="AG6" s="8" t="str">
        <f t="shared" si="1"/>
        <v>Sun</v>
      </c>
      <c r="AH6" s="8" t="str">
        <f t="shared" si="1"/>
        <v>Mon</v>
      </c>
      <c r="AI6" s="8" t="str">
        <f t="shared" si="1"/>
        <v>Tue</v>
      </c>
      <c r="AJ6" s="8" t="str">
        <f t="shared" si="1"/>
        <v>Wed</v>
      </c>
      <c r="AK6" s="8" t="str">
        <f t="shared" si="1"/>
        <v>Thu</v>
      </c>
      <c r="AL6" s="8"/>
      <c r="AM6" s="42"/>
      <c r="AN6" s="8"/>
      <c r="AO6" s="8"/>
      <c r="AP6" s="8"/>
      <c r="AQ6" s="8"/>
    </row>
    <row r="7" spans="1:43" x14ac:dyDescent="0.45">
      <c r="A7" s="8"/>
      <c r="B7" s="8"/>
      <c r="C7" s="8"/>
      <c r="D7" s="32"/>
      <c r="E7" s="8"/>
      <c r="H7" s="10" t="s">
        <v>53</v>
      </c>
      <c r="I7" s="8"/>
      <c r="J7" s="8"/>
      <c r="K7" s="8"/>
      <c r="L7" s="30"/>
      <c r="M7" s="30"/>
      <c r="N7" s="8"/>
      <c r="O7" s="8"/>
      <c r="P7" s="8"/>
      <c r="Q7" s="8"/>
      <c r="R7" s="8"/>
      <c r="S7" s="15" t="s">
        <v>51</v>
      </c>
      <c r="T7" s="12">
        <f>IF(LEN(T5), SUM(T9:T11), "")</f>
        <v>0.12291666666666667</v>
      </c>
      <c r="U7" s="12">
        <f t="shared" ref="U7:AK7" si="2">IF(LEN(U5), SUM(U9:U11), "")</f>
        <v>0</v>
      </c>
      <c r="V7" s="12">
        <f t="shared" si="2"/>
        <v>0</v>
      </c>
      <c r="W7" s="12">
        <f t="shared" si="2"/>
        <v>0</v>
      </c>
      <c r="X7" s="12">
        <f t="shared" si="2"/>
        <v>0</v>
      </c>
      <c r="Y7" s="12">
        <f t="shared" si="2"/>
        <v>0</v>
      </c>
      <c r="Z7" s="12">
        <f t="shared" si="2"/>
        <v>0</v>
      </c>
      <c r="AA7" s="12">
        <f t="shared" si="2"/>
        <v>0</v>
      </c>
      <c r="AB7" s="12">
        <f t="shared" si="2"/>
        <v>0</v>
      </c>
      <c r="AC7" s="12">
        <f t="shared" si="2"/>
        <v>0</v>
      </c>
      <c r="AD7" s="12">
        <f t="shared" si="2"/>
        <v>0</v>
      </c>
      <c r="AE7" s="12">
        <f t="shared" si="2"/>
        <v>0</v>
      </c>
      <c r="AF7" s="12">
        <f t="shared" si="2"/>
        <v>0</v>
      </c>
      <c r="AG7" s="12">
        <f t="shared" si="2"/>
        <v>0</v>
      </c>
      <c r="AH7" s="12">
        <f t="shared" si="2"/>
        <v>0</v>
      </c>
      <c r="AI7" s="12">
        <f t="shared" si="2"/>
        <v>0</v>
      </c>
      <c r="AJ7" s="12">
        <f t="shared" si="2"/>
        <v>0</v>
      </c>
      <c r="AK7" s="12">
        <f t="shared" si="2"/>
        <v>0</v>
      </c>
      <c r="AL7" s="12"/>
      <c r="AM7" s="43"/>
      <c r="AN7" s="12"/>
      <c r="AO7" s="12"/>
      <c r="AP7" s="12"/>
    </row>
    <row r="8" spans="1:43" s="23" customFormat="1" ht="37.5" x14ac:dyDescent="0.45">
      <c r="A8" s="19" t="s">
        <v>56</v>
      </c>
      <c r="B8" s="19" t="s">
        <v>57</v>
      </c>
      <c r="C8" s="19" t="s">
        <v>27</v>
      </c>
      <c r="D8" s="22" t="s">
        <v>87</v>
      </c>
      <c r="E8" s="19" t="s">
        <v>2</v>
      </c>
      <c r="F8" s="20" t="s">
        <v>3</v>
      </c>
      <c r="G8" s="20" t="s">
        <v>137</v>
      </c>
      <c r="H8" s="20" t="s">
        <v>84</v>
      </c>
      <c r="I8" s="19" t="s">
        <v>16</v>
      </c>
      <c r="J8" s="21" t="s">
        <v>18</v>
      </c>
      <c r="K8" s="21" t="s">
        <v>19</v>
      </c>
      <c r="L8" s="31" t="s">
        <v>62</v>
      </c>
      <c r="M8" s="31" t="s">
        <v>63</v>
      </c>
      <c r="N8" s="22" t="s">
        <v>64</v>
      </c>
      <c r="O8" s="22" t="s">
        <v>65</v>
      </c>
      <c r="P8" s="22" t="s">
        <v>66</v>
      </c>
      <c r="Q8" s="22" t="s">
        <v>67</v>
      </c>
      <c r="R8" s="22" t="s">
        <v>48</v>
      </c>
      <c r="S8" s="19" t="s">
        <v>21</v>
      </c>
      <c r="U8" s="19"/>
      <c r="AM8" s="44"/>
    </row>
    <row r="9" spans="1:43" x14ac:dyDescent="0.45">
      <c r="A9" s="8">
        <f>ROW()-ROW($A$8)</f>
        <v>1</v>
      </c>
      <c r="B9" s="17" t="s">
        <v>58</v>
      </c>
      <c r="C9" s="8" t="s">
        <v>60</v>
      </c>
      <c r="D9" s="32"/>
      <c r="E9" s="32" t="s">
        <v>60</v>
      </c>
      <c r="F9" s="17" t="s">
        <v>61</v>
      </c>
      <c r="G9" s="17"/>
      <c r="H9" s="17"/>
      <c r="I9" s="8"/>
      <c r="J9" s="8"/>
      <c r="K9" s="8"/>
      <c r="L9" s="30">
        <v>8.3333333333333329E-2</v>
      </c>
      <c r="M9" s="30">
        <f>SUM(T9:AM9)</f>
        <v>6.0416666666666667E-2</v>
      </c>
      <c r="N9" s="46">
        <v>45447</v>
      </c>
      <c r="O9" s="46">
        <v>45448</v>
      </c>
      <c r="P9" s="46"/>
      <c r="Q9" s="46"/>
      <c r="R9" s="48" t="s">
        <v>140</v>
      </c>
      <c r="S9" s="8"/>
      <c r="T9" s="12">
        <v>6.0416666666666667E-2</v>
      </c>
      <c r="U9" s="8"/>
    </row>
    <row r="10" spans="1:43" x14ac:dyDescent="0.45">
      <c r="A10" s="8">
        <f>ROW()-ROW($A$8)</f>
        <v>2</v>
      </c>
      <c r="B10" s="17" t="s">
        <v>85</v>
      </c>
      <c r="C10" t="s">
        <v>76</v>
      </c>
      <c r="E10" s="26" t="s">
        <v>77</v>
      </c>
      <c r="F10" s="18" t="s">
        <v>79</v>
      </c>
      <c r="G10" s="18"/>
      <c r="H10" s="18"/>
      <c r="L10" s="29">
        <v>0</v>
      </c>
      <c r="M10" s="30">
        <f>SUM(T10:AM10)</f>
        <v>0</v>
      </c>
      <c r="N10" s="47">
        <v>45420</v>
      </c>
      <c r="O10" s="47">
        <v>45418</v>
      </c>
      <c r="P10" s="47"/>
      <c r="Q10" s="47"/>
      <c r="R10" s="49" t="s">
        <v>140</v>
      </c>
    </row>
    <row r="11" spans="1:43" ht="37.5" x14ac:dyDescent="0.45">
      <c r="A11" s="8">
        <f>ROW()-ROW($A$8)</f>
        <v>3</v>
      </c>
      <c r="B11" s="17" t="s">
        <v>86</v>
      </c>
      <c r="C11" t="s">
        <v>81</v>
      </c>
      <c r="D11" s="26" t="s">
        <v>88</v>
      </c>
      <c r="E11" s="26" t="s">
        <v>82</v>
      </c>
      <c r="F11" s="18" t="s">
        <v>83</v>
      </c>
      <c r="G11" s="18" t="s">
        <v>138</v>
      </c>
      <c r="H11" s="18"/>
      <c r="M11" s="30">
        <f>SUM(T11:AM11)</f>
        <v>6.25E-2</v>
      </c>
      <c r="N11" s="47"/>
      <c r="O11" s="47"/>
      <c r="P11" s="47"/>
      <c r="Q11" s="47"/>
      <c r="R11" s="49" t="s">
        <v>140</v>
      </c>
      <c r="T11" s="1">
        <v>6.25E-2</v>
      </c>
    </row>
    <row r="12" spans="1:43" ht="37.5" x14ac:dyDescent="0.45">
      <c r="A12" s="8">
        <f>ROW()-ROW($A$8)</f>
        <v>4</v>
      </c>
      <c r="B12" s="17" t="s">
        <v>86</v>
      </c>
      <c r="C12" t="s">
        <v>81</v>
      </c>
      <c r="D12" s="26" t="s">
        <v>88</v>
      </c>
      <c r="E12" s="26" t="s">
        <v>82</v>
      </c>
      <c r="F12" s="18" t="s">
        <v>141</v>
      </c>
      <c r="G12" s="18"/>
      <c r="H12" s="18"/>
      <c r="M12" s="30"/>
      <c r="N12" s="47"/>
      <c r="O12" s="47"/>
      <c r="P12" s="47"/>
      <c r="Q12" s="47"/>
      <c r="R12" s="49"/>
      <c r="T12" s="1"/>
    </row>
    <row r="13" spans="1:43" ht="37.5" x14ac:dyDescent="0.45">
      <c r="A13" s="8">
        <f>ROW()-ROW($A$8)</f>
        <v>5</v>
      </c>
      <c r="B13" s="17" t="s">
        <v>134</v>
      </c>
      <c r="C13" t="s">
        <v>135</v>
      </c>
      <c r="D13" s="26" t="s">
        <v>88</v>
      </c>
      <c r="E13" s="26" t="s">
        <v>125</v>
      </c>
      <c r="F13" s="18" t="s">
        <v>136</v>
      </c>
      <c r="G13" s="18"/>
      <c r="H13" s="18"/>
      <c r="M13" s="30"/>
      <c r="N13" s="47"/>
      <c r="O13" s="47"/>
      <c r="P13" s="47"/>
      <c r="Q13" s="47"/>
      <c r="R13" s="49"/>
      <c r="T13" s="1"/>
    </row>
    <row r="14" spans="1:43" x14ac:dyDescent="0.45">
      <c r="A14" s="8">
        <f t="shared" ref="A14:A16" si="3">ROW()-ROW($A$8)</f>
        <v>6</v>
      </c>
      <c r="E14" s="26"/>
      <c r="F14" s="18"/>
      <c r="G14" s="18"/>
      <c r="H14" s="18"/>
      <c r="N14" s="47"/>
      <c r="O14" s="47"/>
      <c r="P14" s="47"/>
      <c r="Q14" s="47"/>
      <c r="R14" s="49"/>
    </row>
    <row r="15" spans="1:43" x14ac:dyDescent="0.45">
      <c r="A15" s="8">
        <f t="shared" si="3"/>
        <v>7</v>
      </c>
      <c r="E15" s="26"/>
      <c r="F15" s="18"/>
      <c r="G15" s="18"/>
      <c r="H15" s="18"/>
      <c r="N15" s="47"/>
      <c r="O15" s="47"/>
      <c r="P15" s="47"/>
      <c r="Q15" s="47"/>
      <c r="R15" s="49"/>
    </row>
    <row r="16" spans="1:43" x14ac:dyDescent="0.45">
      <c r="A16" s="8">
        <f t="shared" si="3"/>
        <v>8</v>
      </c>
      <c r="E16" s="26"/>
      <c r="F16" s="18"/>
      <c r="G16" s="18"/>
      <c r="H16" s="18"/>
      <c r="N16" s="47"/>
      <c r="O16" s="47"/>
      <c r="P16" s="47"/>
      <c r="Q16" s="47"/>
      <c r="R16" s="49"/>
    </row>
    <row r="17" spans="1:13" s="36" customFormat="1" x14ac:dyDescent="0.45">
      <c r="A17" s="36" t="s">
        <v>111</v>
      </c>
      <c r="D17" s="37"/>
      <c r="F17" s="38"/>
      <c r="G17" s="38"/>
      <c r="H17" s="38"/>
      <c r="L17" s="39"/>
      <c r="M17" s="39"/>
    </row>
  </sheetData>
  <phoneticPr fontId="1"/>
  <conditionalFormatting sqref="T5:AQ6 T7:AP7">
    <cfRule type="expression" dxfId="3" priority="3">
      <formula>T$6="Sat"</formula>
    </cfRule>
    <cfRule type="expression" dxfId="2" priority="4">
      <formula>T$6="Sun"</formula>
    </cfRule>
  </conditionalFormatting>
  <conditionalFormatting sqref="D4:D5">
    <cfRule type="expression" dxfId="1" priority="1">
      <formula>D$6="Sat"</formula>
    </cfRule>
    <cfRule type="expression" dxfId="0" priority="2">
      <formula>D$6="Sun"</formula>
    </cfRule>
  </conditionalFormatting>
  <dataValidations count="4">
    <dataValidation type="custom" allowBlank="1" showInputMessage="1" showErrorMessage="1" sqref="Q9:Q16 O10:O16" xr:uid="{E52C7AE4-0A1D-4188-91D7-C777F9214492}">
      <formula1>M9&lt;L9</formula1>
    </dataValidation>
    <dataValidation type="custom" allowBlank="1" showErrorMessage="1" errorTitle="日付の逆転エラー" error="開始日 &lt;= 終了日　となるよう入力してください。" sqref="O9" xr:uid="{785D8A91-8CDC-4248-BCCA-DBDCC0897343}">
      <formula1>O9&gt;=N9</formula1>
    </dataValidation>
    <dataValidation type="custom" allowBlank="1" showInputMessage="1" showErrorMessage="1" errorTitle="日付の逆転エラー" error="開始日 &lt;= 終了日　となるよう入力してください。" sqref="N9:N16 P9:P16" xr:uid="{9328883A-D8B6-4719-A1A5-2049B8A8C8A4}">
      <formula1>O9&gt;=N9</formula1>
    </dataValidation>
    <dataValidation type="time" operator="greaterThanOrEqual" allowBlank="1" showInputMessage="1" showErrorMessage="1" errorTitle="時刻の入力規則エラー" error="時刻は00:00以上で入力してください。_x000a_極力15分単位が良いです。" sqref="L9:L16" xr:uid="{D6DD464F-6179-4DEC-B84A-4059E1E8381D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91A552-B04D-4CA6-A7A0-7DA4AFA6CC3F}">
          <x14:formula1>
            <xm:f>プルダウン!$K$1</xm:f>
          </x14:formula1>
          <xm:sqref>R9:R16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929B2-97F7-4F97-974F-FB1D776B5AE6}">
  <sheetPr codeName="Sheet3"/>
  <dimension ref="A1:C41"/>
  <sheetViews>
    <sheetView workbookViewId="0">
      <selection activeCell="A11" sqref="A11"/>
    </sheetView>
  </sheetViews>
  <sheetFormatPr defaultRowHeight="18.75" x14ac:dyDescent="0.45"/>
  <cols>
    <col min="1" max="1" width="15.88671875" bestFit="1" customWidth="1"/>
    <col min="2" max="2" width="11.6640625" bestFit="1" customWidth="1"/>
    <col min="3" max="3" width="24.88671875" bestFit="1" customWidth="1"/>
  </cols>
  <sheetData>
    <row r="1" spans="1:3" x14ac:dyDescent="0.45">
      <c r="A1" t="s">
        <v>15</v>
      </c>
      <c r="B1" t="s">
        <v>89</v>
      </c>
      <c r="C1" t="s">
        <v>20</v>
      </c>
    </row>
    <row r="2" spans="1:3" x14ac:dyDescent="0.45">
      <c r="A2" s="33">
        <v>45292</v>
      </c>
      <c r="B2" t="s">
        <v>90</v>
      </c>
    </row>
    <row r="3" spans="1:3" x14ac:dyDescent="0.45">
      <c r="A3" s="33">
        <v>45299</v>
      </c>
      <c r="B3" t="s">
        <v>91</v>
      </c>
    </row>
    <row r="4" spans="1:3" x14ac:dyDescent="0.45">
      <c r="A4" s="33">
        <v>45333</v>
      </c>
      <c r="B4" t="s">
        <v>92</v>
      </c>
    </row>
    <row r="5" spans="1:3" x14ac:dyDescent="0.45">
      <c r="A5" s="33">
        <v>45334</v>
      </c>
      <c r="B5" t="s">
        <v>93</v>
      </c>
      <c r="C5" t="s">
        <v>94</v>
      </c>
    </row>
    <row r="6" spans="1:3" x14ac:dyDescent="0.45">
      <c r="A6" s="33">
        <v>45345</v>
      </c>
      <c r="B6" t="s">
        <v>95</v>
      </c>
    </row>
    <row r="7" spans="1:3" x14ac:dyDescent="0.45">
      <c r="A7" s="33">
        <v>45371</v>
      </c>
      <c r="B7" t="s">
        <v>96</v>
      </c>
    </row>
    <row r="8" spans="1:3" x14ac:dyDescent="0.45">
      <c r="A8" s="33">
        <v>45411</v>
      </c>
      <c r="B8" t="s">
        <v>97</v>
      </c>
    </row>
    <row r="9" spans="1:3" x14ac:dyDescent="0.45">
      <c r="A9" s="33">
        <v>45415</v>
      </c>
      <c r="B9" t="s">
        <v>98</v>
      </c>
    </row>
    <row r="10" spans="1:3" x14ac:dyDescent="0.45">
      <c r="A10" s="33">
        <v>45416</v>
      </c>
      <c r="B10" t="s">
        <v>99</v>
      </c>
    </row>
    <row r="11" spans="1:3" x14ac:dyDescent="0.45">
      <c r="A11" s="33">
        <v>45417</v>
      </c>
      <c r="B11" t="s">
        <v>100</v>
      </c>
    </row>
    <row r="12" spans="1:3" x14ac:dyDescent="0.45">
      <c r="A12" s="33">
        <v>45418</v>
      </c>
      <c r="B12" t="s">
        <v>93</v>
      </c>
      <c r="C12" t="s">
        <v>94</v>
      </c>
    </row>
    <row r="13" spans="1:3" x14ac:dyDescent="0.45">
      <c r="A13" s="33">
        <v>45488</v>
      </c>
      <c r="B13" t="s">
        <v>101</v>
      </c>
    </row>
    <row r="14" spans="1:3" x14ac:dyDescent="0.45">
      <c r="A14" s="33">
        <v>45515</v>
      </c>
      <c r="B14" t="s">
        <v>102</v>
      </c>
    </row>
    <row r="15" spans="1:3" x14ac:dyDescent="0.45">
      <c r="A15" s="33">
        <v>45516</v>
      </c>
      <c r="B15" t="s">
        <v>93</v>
      </c>
      <c r="C15" t="s">
        <v>94</v>
      </c>
    </row>
    <row r="16" spans="1:3" x14ac:dyDescent="0.45">
      <c r="A16" s="33">
        <v>45551</v>
      </c>
      <c r="B16" t="s">
        <v>103</v>
      </c>
    </row>
    <row r="17" spans="1:3" x14ac:dyDescent="0.45">
      <c r="A17" s="33">
        <v>45557</v>
      </c>
      <c r="B17" t="s">
        <v>104</v>
      </c>
    </row>
    <row r="18" spans="1:3" x14ac:dyDescent="0.45">
      <c r="A18" s="33">
        <v>45558</v>
      </c>
      <c r="B18" t="s">
        <v>93</v>
      </c>
      <c r="C18" t="s">
        <v>94</v>
      </c>
    </row>
    <row r="19" spans="1:3" x14ac:dyDescent="0.45">
      <c r="A19" s="33">
        <v>45579</v>
      </c>
      <c r="B19" t="s">
        <v>105</v>
      </c>
    </row>
    <row r="20" spans="1:3" x14ac:dyDescent="0.45">
      <c r="A20" s="33">
        <v>45599</v>
      </c>
      <c r="B20" t="s">
        <v>106</v>
      </c>
    </row>
    <row r="21" spans="1:3" x14ac:dyDescent="0.45">
      <c r="A21" s="33">
        <v>45600</v>
      </c>
      <c r="B21" t="s">
        <v>93</v>
      </c>
      <c r="C21" t="s">
        <v>94</v>
      </c>
    </row>
    <row r="22" spans="1:3" x14ac:dyDescent="0.45">
      <c r="A22" s="33">
        <v>45619</v>
      </c>
      <c r="B22" t="s">
        <v>107</v>
      </c>
    </row>
    <row r="23" spans="1:3" x14ac:dyDescent="0.45">
      <c r="A23" s="33">
        <v>45658</v>
      </c>
      <c r="B23" t="s">
        <v>90</v>
      </c>
    </row>
    <row r="24" spans="1:3" x14ac:dyDescent="0.45">
      <c r="A24" s="33">
        <v>45670</v>
      </c>
      <c r="B24" t="s">
        <v>91</v>
      </c>
    </row>
    <row r="25" spans="1:3" x14ac:dyDescent="0.45">
      <c r="A25" s="33">
        <v>45699</v>
      </c>
      <c r="B25" t="s">
        <v>92</v>
      </c>
    </row>
    <row r="26" spans="1:3" x14ac:dyDescent="0.45">
      <c r="A26" s="33">
        <v>45711</v>
      </c>
      <c r="B26" t="s">
        <v>95</v>
      </c>
    </row>
    <row r="27" spans="1:3" x14ac:dyDescent="0.45">
      <c r="A27" s="33">
        <v>45712</v>
      </c>
      <c r="B27" t="s">
        <v>93</v>
      </c>
      <c r="C27" t="s">
        <v>94</v>
      </c>
    </row>
    <row r="28" spans="1:3" x14ac:dyDescent="0.45">
      <c r="A28" s="33">
        <v>45736</v>
      </c>
      <c r="B28" t="s">
        <v>96</v>
      </c>
    </row>
    <row r="29" spans="1:3" x14ac:dyDescent="0.45">
      <c r="A29" s="33">
        <v>45776</v>
      </c>
      <c r="B29" t="s">
        <v>97</v>
      </c>
    </row>
    <row r="30" spans="1:3" x14ac:dyDescent="0.45">
      <c r="A30" s="33">
        <v>45780</v>
      </c>
      <c r="B30" t="s">
        <v>98</v>
      </c>
    </row>
    <row r="31" spans="1:3" x14ac:dyDescent="0.45">
      <c r="A31" s="33">
        <v>45781</v>
      </c>
      <c r="B31" t="s">
        <v>99</v>
      </c>
    </row>
    <row r="32" spans="1:3" x14ac:dyDescent="0.45">
      <c r="A32" s="33">
        <v>45782</v>
      </c>
      <c r="B32" t="s">
        <v>100</v>
      </c>
    </row>
    <row r="33" spans="1:3" x14ac:dyDescent="0.45">
      <c r="A33" s="33">
        <v>45783</v>
      </c>
      <c r="B33" t="s">
        <v>93</v>
      </c>
      <c r="C33" t="s">
        <v>94</v>
      </c>
    </row>
    <row r="34" spans="1:3" x14ac:dyDescent="0.45">
      <c r="A34" s="33">
        <v>45859</v>
      </c>
      <c r="B34" t="s">
        <v>101</v>
      </c>
    </row>
    <row r="35" spans="1:3" x14ac:dyDescent="0.45">
      <c r="A35" s="33">
        <v>45880</v>
      </c>
      <c r="B35" t="s">
        <v>102</v>
      </c>
    </row>
    <row r="36" spans="1:3" x14ac:dyDescent="0.45">
      <c r="A36" s="33">
        <v>45915</v>
      </c>
      <c r="B36" t="s">
        <v>103</v>
      </c>
    </row>
    <row r="37" spans="1:3" x14ac:dyDescent="0.45">
      <c r="A37" s="33">
        <v>45923</v>
      </c>
      <c r="B37" t="s">
        <v>104</v>
      </c>
    </row>
    <row r="38" spans="1:3" x14ac:dyDescent="0.45">
      <c r="A38" s="33">
        <v>45943</v>
      </c>
      <c r="B38" t="s">
        <v>105</v>
      </c>
    </row>
    <row r="39" spans="1:3" x14ac:dyDescent="0.45">
      <c r="A39" s="33">
        <v>45964</v>
      </c>
      <c r="B39" t="s">
        <v>106</v>
      </c>
    </row>
    <row r="40" spans="1:3" x14ac:dyDescent="0.45">
      <c r="A40" s="33">
        <v>45984</v>
      </c>
      <c r="B40" t="s">
        <v>107</v>
      </c>
    </row>
    <row r="41" spans="1:3" x14ac:dyDescent="0.45">
      <c r="A41" s="33">
        <v>45985</v>
      </c>
      <c r="B41" t="s">
        <v>93</v>
      </c>
      <c r="C41" t="s">
        <v>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2BDE7-15FD-48C0-8647-58C2391FBFC3}">
  <sheetPr codeName="Sheet4"/>
  <dimension ref="A1:K7"/>
  <sheetViews>
    <sheetView workbookViewId="0">
      <selection activeCell="K1" sqref="K1"/>
    </sheetView>
  </sheetViews>
  <sheetFormatPr defaultRowHeight="18.75" x14ac:dyDescent="0.45"/>
  <cols>
    <col min="1" max="1" width="9.88671875" bestFit="1" customWidth="1"/>
    <col min="2" max="2" width="15.33203125" bestFit="1" customWidth="1"/>
    <col min="3" max="3" width="13.6640625" bestFit="1" customWidth="1"/>
    <col min="5" max="5" width="15.33203125" bestFit="1" customWidth="1"/>
    <col min="6" max="6" width="4.109375" customWidth="1"/>
    <col min="9" max="9" width="4.109375" customWidth="1"/>
    <col min="10" max="10" width="13.5546875" bestFit="1" customWidth="1"/>
  </cols>
  <sheetData>
    <row r="1" spans="1:11" x14ac:dyDescent="0.45">
      <c r="A1" t="s">
        <v>114</v>
      </c>
      <c r="B1" s="2" t="s">
        <v>59</v>
      </c>
      <c r="C1" s="2" t="s">
        <v>75</v>
      </c>
      <c r="D1" s="2" t="s">
        <v>80</v>
      </c>
      <c r="E1" s="2" t="s">
        <v>124</v>
      </c>
      <c r="G1" t="s">
        <v>128</v>
      </c>
      <c r="H1" t="s">
        <v>129</v>
      </c>
      <c r="J1" t="s">
        <v>139</v>
      </c>
      <c r="K1" t="s">
        <v>140</v>
      </c>
    </row>
    <row r="2" spans="1:11" x14ac:dyDescent="0.45">
      <c r="A2" t="s">
        <v>113</v>
      </c>
      <c r="B2" t="s">
        <v>115</v>
      </c>
      <c r="C2" t="s">
        <v>117</v>
      </c>
      <c r="D2" t="s">
        <v>119</v>
      </c>
      <c r="E2" t="s">
        <v>126</v>
      </c>
      <c r="H2" t="s">
        <v>130</v>
      </c>
    </row>
    <row r="3" spans="1:11" x14ac:dyDescent="0.45">
      <c r="B3" t="s">
        <v>116</v>
      </c>
      <c r="C3" t="s">
        <v>118</v>
      </c>
      <c r="D3" t="s">
        <v>82</v>
      </c>
      <c r="E3" t="s">
        <v>127</v>
      </c>
      <c r="H3" t="s">
        <v>131</v>
      </c>
    </row>
    <row r="4" spans="1:11" x14ac:dyDescent="0.45">
      <c r="D4" t="s">
        <v>120</v>
      </c>
      <c r="H4" t="s">
        <v>132</v>
      </c>
    </row>
    <row r="5" spans="1:11" x14ac:dyDescent="0.45">
      <c r="D5" t="s">
        <v>121</v>
      </c>
      <c r="H5" t="s">
        <v>133</v>
      </c>
    </row>
    <row r="6" spans="1:11" x14ac:dyDescent="0.45">
      <c r="D6" t="s">
        <v>122</v>
      </c>
    </row>
    <row r="7" spans="1:11" x14ac:dyDescent="0.45">
      <c r="D7" t="s">
        <v>123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8E01A-9EEE-4A96-B847-F7DDACFC10DD}">
  <sheetPr codeName="Sheet5"/>
  <dimension ref="A1:J7"/>
  <sheetViews>
    <sheetView workbookViewId="0">
      <selection activeCell="A3" sqref="A3"/>
    </sheetView>
  </sheetViews>
  <sheetFormatPr defaultRowHeight="18.75" x14ac:dyDescent="0.45"/>
  <cols>
    <col min="7" max="7" width="37.6640625" style="26" customWidth="1"/>
    <col min="9" max="10" width="37.6640625" style="26" customWidth="1"/>
  </cols>
  <sheetData>
    <row r="1" spans="1:10" s="5" customFormat="1" ht="24.75" x14ac:dyDescent="0.45">
      <c r="A1" s="7" t="s">
        <v>68</v>
      </c>
      <c r="D1" s="6"/>
      <c r="G1" s="6"/>
      <c r="I1" s="6"/>
      <c r="J1" s="6"/>
    </row>
    <row r="2" spans="1:10" s="3" customFormat="1" x14ac:dyDescent="0.45">
      <c r="D2" s="4"/>
      <c r="G2" s="4"/>
      <c r="I2" s="4"/>
      <c r="J2" s="4"/>
    </row>
    <row r="3" spans="1:10" s="3" customFormat="1" x14ac:dyDescent="0.45">
      <c r="A3" s="3" t="s">
        <v>74</v>
      </c>
      <c r="D3" s="4"/>
      <c r="G3" s="4"/>
      <c r="I3" s="4"/>
      <c r="J3" s="4"/>
    </row>
    <row r="4" spans="1:10" s="3" customFormat="1" x14ac:dyDescent="0.45">
      <c r="D4" s="4"/>
      <c r="G4" s="4"/>
      <c r="I4" s="4"/>
      <c r="J4" s="4"/>
    </row>
    <row r="5" spans="1:10" s="3" customFormat="1" x14ac:dyDescent="0.45">
      <c r="D5" s="4"/>
      <c r="G5" s="4"/>
      <c r="I5" s="4"/>
      <c r="J5" s="4"/>
    </row>
    <row r="6" spans="1:10" x14ac:dyDescent="0.45">
      <c r="A6" s="19" t="s">
        <v>57</v>
      </c>
      <c r="B6" s="19" t="s">
        <v>27</v>
      </c>
      <c r="C6" s="19" t="s">
        <v>1</v>
      </c>
      <c r="D6" s="19" t="s">
        <v>2</v>
      </c>
      <c r="E6" s="20" t="s">
        <v>3</v>
      </c>
      <c r="F6" s="24" t="s">
        <v>69</v>
      </c>
      <c r="G6" s="25" t="s">
        <v>70</v>
      </c>
      <c r="H6" s="24" t="s">
        <v>71</v>
      </c>
      <c r="I6" s="25" t="s">
        <v>72</v>
      </c>
      <c r="J6" s="26" t="s">
        <v>73</v>
      </c>
    </row>
    <row r="7" spans="1:10" x14ac:dyDescent="0.45">
      <c r="A7" s="8" t="s">
        <v>58</v>
      </c>
      <c r="B7" s="8" t="s">
        <v>60</v>
      </c>
      <c r="C7" s="8"/>
      <c r="D7" s="8" t="s">
        <v>60</v>
      </c>
      <c r="E7" s="17" t="s">
        <v>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タスク管理に必要な要素</vt:lpstr>
      <vt:lpstr>タスク管理表_フォーマットとイベント発火時の挙動</vt:lpstr>
      <vt:lpstr>祝日</vt:lpstr>
      <vt:lpstr>プルダウン</vt:lpstr>
      <vt:lpstr>作業で行き詰ったことシート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2024-05-30T15:14:23Z</dcterms:created>
  <dcterms:modified xsi:type="dcterms:W3CDTF">2024-06-03T17:55:58Z</dcterms:modified>
</cp:coreProperties>
</file>